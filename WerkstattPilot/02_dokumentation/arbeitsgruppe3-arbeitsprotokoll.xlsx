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vio\Downloads\"/>
    </mc:Choice>
  </mc:AlternateContent>
  <xr:revisionPtr revIDLastSave="0" documentId="13_ncr:1_{EA938F2F-CD35-454C-A91D-3D0A68E0800E}" xr6:coauthVersionLast="47" xr6:coauthVersionMax="47" xr10:uidLastSave="{00000000-0000-0000-0000-000000000000}"/>
  <bookViews>
    <workbookView xWindow="-21697" yWindow="3015" windowWidth="21795" windowHeight="13875" firstSheet="1" activeTab="3" xr2:uid="{00000000-000D-0000-FFFF-FFFF00000000}"/>
  </bookViews>
  <sheets>
    <sheet name="README" sheetId="1" r:id="rId1"/>
    <sheet name="Arbeitsprotokoll" sheetId="2" r:id="rId2"/>
    <sheet name="Auswertung" sheetId="3" r:id="rId3"/>
    <sheet name="Pruefungsabdeckung" sheetId="4" r:id="rId4"/>
    <sheet name="Aufgabe_1" sheetId="5" r:id="rId5"/>
    <sheet name="Aufgabe_2" sheetId="6" r:id="rId6"/>
    <sheet name="Aufgabe_3" sheetId="7" r:id="rId7"/>
    <sheet name="Aufgabe_4" sheetId="8" r:id="rId8"/>
    <sheet name="Aufgabe_5" sheetId="9" r:id="rId9"/>
    <sheet name="Naechste_Schritt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B15" i="3"/>
  <c r="D15" i="3" s="1"/>
  <c r="C14" i="3"/>
  <c r="B14" i="3"/>
  <c r="D14" i="3" s="1"/>
  <c r="C13" i="3"/>
  <c r="B13" i="3"/>
  <c r="D13" i="3" s="1"/>
  <c r="C12" i="3"/>
  <c r="B12" i="3"/>
  <c r="D12" i="3" s="1"/>
  <c r="C11" i="3"/>
  <c r="B11" i="3"/>
  <c r="D11" i="3" s="1"/>
  <c r="C10" i="3"/>
  <c r="B10" i="3"/>
  <c r="D10" i="3" s="1"/>
  <c r="B5" i="3"/>
  <c r="C5" i="3" s="1"/>
  <c r="B4" i="3"/>
  <c r="C4" i="3" s="1"/>
  <c r="E5" i="3" l="1"/>
  <c r="D5" i="3"/>
  <c r="C6" i="3"/>
  <c r="E4" i="3"/>
  <c r="D4" i="3"/>
  <c r="B6" i="3"/>
</calcChain>
</file>

<file path=xl/sharedStrings.xml><?xml version="1.0" encoding="utf-8"?>
<sst xmlns="http://schemas.openxmlformats.org/spreadsheetml/2006/main" count="766" uniqueCount="269">
  <si>
    <t>WerkstattPilot - Arbeitsprotokoll und Prüfungsabdeckung</t>
  </si>
  <si>
    <t>Hinweis</t>
  </si>
  <si>
    <t>Diese Datei ist als Entwurf / Rekonstruktion für die finale Abgabe gedacht. Vor der Abgabe müssen Datum, Tätigkeit und Aufwand mit den effektiv geleisteten Arbeiten abgeglichen werden. Keine Zeiten übernehmen, die nicht stimmen.</t>
  </si>
  <si>
    <t>Projekt</t>
  </si>
  <si>
    <t>WerkstattPilot</t>
  </si>
  <si>
    <t>Arbeitsgruppe</t>
  </si>
  <si>
    <t>Arbeitsgruppe 3 / WerkstattPilot-Team</t>
  </si>
  <si>
    <t>Autoren</t>
  </si>
  <si>
    <t>Livio Luna, Dominic Lolos</t>
  </si>
  <si>
    <t>Stand</t>
  </si>
  <si>
    <t>06.06.2026</t>
  </si>
  <si>
    <t>Zweck</t>
  </si>
  <si>
    <t>Arbeitsprotokoll, Auswertung pro Person/Aufgabe und Abdeckung der Prüfziele</t>
  </si>
  <si>
    <t>Wichtig</t>
  </si>
  <si>
    <t>Arbeitsprotokoll final mit effektiven Zeiten validieren</t>
  </si>
  <si>
    <t>Datum</t>
  </si>
  <si>
    <t>Aufgabe</t>
  </si>
  <si>
    <t>Person</t>
  </si>
  <si>
    <t>Aufwand/min</t>
  </si>
  <si>
    <t>Aufwand/h</t>
  </si>
  <si>
    <t>Tätigkeit</t>
  </si>
  <si>
    <t>Ergebnis</t>
  </si>
  <si>
    <t>Kommentar / Nachweis</t>
  </si>
  <si>
    <t>03.03.2026</t>
  </si>
  <si>
    <t>Aufgabe 1</t>
  </si>
  <si>
    <t>Livio Luna</t>
  </si>
  <si>
    <t>Projektidee und Problemstellung geschärft</t>
  </si>
  <si>
    <t>WerkstattPilot als digitale Auftragsabwicklung eingegrenzt</t>
  </si>
  <si>
    <t>Abgleich mit Unterrichtsblock 01</t>
  </si>
  <si>
    <t>Dominic Lolos</t>
  </si>
  <si>
    <t>Projektidee und Zielbild mitgeprüft</t>
  </si>
  <si>
    <t>Ziele und Nutzen aus technischer Sicht ergänzt</t>
  </si>
  <si>
    <t>17.03.2026</t>
  </si>
  <si>
    <t>Aufgabe 2</t>
  </si>
  <si>
    <t>Projektumgebung und Namenskonventionen skizziert</t>
  </si>
  <si>
    <t>Ordnerstruktur und Dokumentregeln vorbereitet</t>
  </si>
  <si>
    <t>OpenOLAT Vorgaben Aufgabe 2</t>
  </si>
  <si>
    <t>Entwicklungsumgebung und Tooling geprüft</t>
  </si>
  <si>
    <t>Java, Eclipse/IDE, Git und Visual Paradigm als Werkzeuge aufgenommen</t>
  </si>
  <si>
    <t>18.03.2026</t>
  </si>
  <si>
    <t>Aufgabe 3</t>
  </si>
  <si>
    <t>Klassenkandidaten gesammelt</t>
  </si>
  <si>
    <t>Kunde, Fahrzeug, Auftrag, Beanstandung und Status eingegrenzt</t>
  </si>
  <si>
    <t>Ausgabe Aufgabe 3</t>
  </si>
  <si>
    <t>Analysemodell fachlich geprüft</t>
  </si>
  <si>
    <t>Erste Assoziationen und Multiplizitäten abgestimmt</t>
  </si>
  <si>
    <t>21.03.2026</t>
  </si>
  <si>
    <t>Arbeitsauftrag OOA und Zustandsmodell bearbeitet</t>
  </si>
  <si>
    <t>Zustände des Auftrags vorbereitet</t>
  </si>
  <si>
    <t>Unterricht ohne Dozent / Arbeitsaufträge</t>
  </si>
  <si>
    <t>Fachklassenmodell gegen Use Cases geprüft</t>
  </si>
  <si>
    <t>31.03.2026</t>
  </si>
  <si>
    <t>Feedback und Abgrenzung Analysemodell verarbeitet</t>
  </si>
  <si>
    <t>Vererbung geprüft und nicht verwendet</t>
  </si>
  <si>
    <t>Unterrichtsblock Aufgabe 3</t>
  </si>
  <si>
    <t>Fachmodell und Zustandsmodell reviewed</t>
  </si>
  <si>
    <t>Abgrenzung zu Lager, Rechnung und Mitarbeiter festgelegt</t>
  </si>
  <si>
    <t>11.04.2026</t>
  </si>
  <si>
    <t>Aufgabe 4</t>
  </si>
  <si>
    <t>OOD-Vorgaben und 3-Schichtenstruktur vorbereitet</t>
  </si>
  <si>
    <t>Business, Persistence und Presentation fachlich getrennt</t>
  </si>
  <si>
    <t>Ausgabe Aufgabe 4/5</t>
  </si>
  <si>
    <t>Designklassen und Schnittstellen vorbereitet</t>
  </si>
  <si>
    <t>Repository, Factory und Service als Designbausteine aufgenommen</t>
  </si>
  <si>
    <t>21.04.2026</t>
  </si>
  <si>
    <t>Designmodell gegen Analysemodell abgeglichen</t>
  </si>
  <si>
    <t>Auftrag als zentrale Klasse bestätigt</t>
  </si>
  <si>
    <t>Unterrichtsbesprechung 21.04.</t>
  </si>
  <si>
    <t>Technische Abhängigkeiten geprüft</t>
  </si>
  <si>
    <t>Keine direkte Presentation-Persistence-Abhängigkeit festgelegt</t>
  </si>
  <si>
    <t>05.05.2026</t>
  </si>
  <si>
    <t>Komponentendiagramm und integriertes Klassendiagramm überarbeitet</t>
  </si>
  <si>
    <t>MariaDB-Bezug als Konsistenzproblem erkannt</t>
  </si>
  <si>
    <t>Unterrichtsblock Aufgabe 4/5</t>
  </si>
  <si>
    <t>Sequenzdiagramm und Pattern-Einsatz geprüft</t>
  </si>
  <si>
    <t>Repository, Singleton und Factory sichtbar gemacht</t>
  </si>
  <si>
    <t>19.05.2026</t>
  </si>
  <si>
    <t>Dokumentation und Glossar Designmodell nachgeführt</t>
  </si>
  <si>
    <t>Verantwortlichkeiten der Designklassen geschärft</t>
  </si>
  <si>
    <t>Unterricht Dokumentation / Sequenzdiagramm</t>
  </si>
  <si>
    <t>Designmodell mit Implementationsidee abgeglichen</t>
  </si>
  <si>
    <t>Mock-DB und einfache Java-Umsetzung bestätigt</t>
  </si>
  <si>
    <t>Aufgabe 5</t>
  </si>
  <si>
    <t>Implementation vorbereitet und Umfang reduziert</t>
  </si>
  <si>
    <t>Auftrag mit zwei Attributen als Implementationsumfang festgelegt</t>
  </si>
  <si>
    <t>Aufgabe 5 Hinweise</t>
  </si>
  <si>
    <t>Implementationsstruktur geprüft</t>
  </si>
  <si>
    <t>Packages presentation, business, persistence und test vorbereitet</t>
  </si>
  <si>
    <t>03.06.2026</t>
  </si>
  <si>
    <t>Java-Prototyp finalisiert und Dokumentation angepasst</t>
  </si>
  <si>
    <t>Service, Repository, Mock-DB, Factory und ConsoleClient abgestimmt</t>
  </si>
  <si>
    <t>Zwischenstand für Rückmeldung</t>
  </si>
  <si>
    <t>Code-Review und einfache Testklassen geprüft</t>
  </si>
  <si>
    <t>Business- und Persistence-Tests nachvollzogen</t>
  </si>
  <si>
    <t>05.06.2026</t>
  </si>
  <si>
    <t>Basic-Java-Code und Aufgabe-5-Dokument synchronisiert</t>
  </si>
  <si>
    <t>Kein Maven, keine echte DB, keine Tastatureingaben dokumentiert</t>
  </si>
  <si>
    <t>Finalisierung Code/Doku</t>
  </si>
  <si>
    <t>Import, Run-Konfiguration und Testablauf geprüft</t>
  </si>
  <si>
    <t>Endbenutzertest mit drei Aufträgen vorbereitet</t>
  </si>
  <si>
    <t>Übergreifend</t>
  </si>
  <si>
    <t>Gesamtreview, Abgabecheck und Versionierung vorbereitet</t>
  </si>
  <si>
    <t>Offene Punkte, Prüfungsabdeckung und Abgabestruktur erstellt</t>
  </si>
  <si>
    <t>Finaler Abgabecheck</t>
  </si>
  <si>
    <t>Gesamtreview und Gegenprüfung der Abgabestruktur</t>
  </si>
  <si>
    <t>Konsistenz von Code, Dokumenten und Präsentation gegengeprüft</t>
  </si>
  <si>
    <t>Auswertung Arbeitsprotokoll</t>
  </si>
  <si>
    <t>Anteil Gesamt</t>
  </si>
  <si>
    <t>Abweichung zum Ø</t>
  </si>
  <si>
    <t>Kontrollpunkt</t>
  </si>
  <si>
    <t>Status</t>
  </si>
  <si>
    <t>Beide Personen je Aufgabe sichtbar</t>
  </si>
  <si>
    <t>OK / prüfen</t>
  </si>
  <si>
    <t>Gemäss Entwurf ja</t>
  </si>
  <si>
    <t>Abweichung Person zu Durchschnitt</t>
  </si>
  <si>
    <t>Formel</t>
  </si>
  <si>
    <t>Soll unter 5% bleiben</t>
  </si>
  <si>
    <t>Gesamt</t>
  </si>
  <si>
    <t>Finalisierung</t>
  </si>
  <si>
    <t>offen</t>
  </si>
  <si>
    <t>Effektive Zeiten prüfen</t>
  </si>
  <si>
    <t>Code-ZIP geprüft</t>
  </si>
  <si>
    <t>Lokal importieren und testen</t>
  </si>
  <si>
    <t>Livio Luna h</t>
  </si>
  <si>
    <t>Dominic Lolos h</t>
  </si>
  <si>
    <t>Differenz h</t>
  </si>
  <si>
    <t>Prüfziel / Bewertungsgegenstand</t>
  </si>
  <si>
    <t>Abdeckung im Dokument</t>
  </si>
  <si>
    <t>Empfohlene Anpassung</t>
  </si>
  <si>
    <t>Projektauftrag / Ausgangslage</t>
  </si>
  <si>
    <t>Folie Problemstellung &amp; Ausgangslage</t>
  </si>
  <si>
    <t>erfüllt</t>
  </si>
  <si>
    <t>In Enddokument als Hauptkapitel 1 übernehmen.</t>
  </si>
  <si>
    <t>Ziele / Nutzen</t>
  </si>
  <si>
    <t>Folie Unsere Ziele, Mission &amp; Vision</t>
  </si>
  <si>
    <t>Iteration-1-Fokus explizit mit UC1/UC2 verbinden.</t>
  </si>
  <si>
    <t>Stakeholder</t>
  </si>
  <si>
    <t>Folie Stakeholder</t>
  </si>
  <si>
    <t>Begriffe Serviceberater/Mechaniker später konsistent verwenden.</t>
  </si>
  <si>
    <t>Use Cases priorisieren</t>
  </si>
  <si>
    <t>Folie Use Cases und Iteration 1</t>
  </si>
  <si>
    <t>Business Value und Aufwand kurz begründen.</t>
  </si>
  <si>
    <t>Nicht-funktionale Anforderungen / Kontext</t>
  </si>
  <si>
    <t>Folie NFA und Systemkontext</t>
  </si>
  <si>
    <t>teilweise</t>
  </si>
  <si>
    <t>Mock-DB der Iteration 1 als Abgrenzung zu SQLite/PostgreSQL erklären.</t>
  </si>
  <si>
    <t>Richtlinien Schreibweisen / Schreibstil</t>
  </si>
  <si>
    <t>Kapitel 2</t>
  </si>
  <si>
    <t>Eclipse statt IntelliJ konsistent nachziehen, falls Code-ZIP Eclipse ist.</t>
  </si>
  <si>
    <t>Ordnerstruktur</t>
  </si>
  <si>
    <t>Kapitel 3</t>
  </si>
  <si>
    <t>Screenshots/Fotos der effektiven Struktur optional ergänzen.</t>
  </si>
  <si>
    <t>Organisation Arbeitsgruppe</t>
  </si>
  <si>
    <t>Kapitel 4</t>
  </si>
  <si>
    <t>Formulierung ändern: beide bearbeiten alle Aufgaben, Schwerpunkte nur ergänzend.</t>
  </si>
  <si>
    <t>Entwicklungssoftware und Installation</t>
  </si>
  <si>
    <t>Kapitel 5/6</t>
  </si>
  <si>
    <t>JUnit/IntelliJ prüfen; bei Basic Java besser Eclipse/JDK/Git/Visual Paradigm/Word/Excel.</t>
  </si>
  <si>
    <t>Entscheidungen und Glossar</t>
  </si>
  <si>
    <t>Kapitel 7/8</t>
  </si>
  <si>
    <t>Datums-/Statusspalten aktualisieren.</t>
  </si>
  <si>
    <t>Dozentenfeedback / Arbeitsprotokoll</t>
  </si>
  <si>
    <t>Kapitel 9/10</t>
  </si>
  <si>
    <t>Mit echtem Gesamt-Arbeitsprotokoll ersetzen oder darauf verweisen.</t>
  </si>
  <si>
    <t>Fachklassenmodell</t>
  </si>
  <si>
    <t>Diagramm im Enddokument gut lesbar platzieren.</t>
  </si>
  <si>
    <t>Attribute und Assoziationen</t>
  </si>
  <si>
    <t>Kapitel 4.1</t>
  </si>
  <si>
    <t>Multiplizitäten bleiben konsistent mit Text.</t>
  </si>
  <si>
    <t>Vererbung prüfen</t>
  </si>
  <si>
    <t>Kapitel 3.1</t>
  </si>
  <si>
    <t>Beibehalten, weil in Iteration 1 keine Vererbung nötig ist.</t>
  </si>
  <si>
    <t>Zustandsmodell</t>
  </si>
  <si>
    <t>Kapitel 5</t>
  </si>
  <si>
    <t>Statuswerte mit Code-Auftragsstatus abgleichen.</t>
  </si>
  <si>
    <t>Glossar Verantwortlichkeiten</t>
  </si>
  <si>
    <t>Kapitel 6</t>
  </si>
  <si>
    <t>Keine UML-Theorie ergänzen, genau so lassen.</t>
  </si>
  <si>
    <t>Arbeitsprotokoll auf beide Personen und mehrere Daten verteilen.</t>
  </si>
  <si>
    <t>Business-Schicht</t>
  </si>
  <si>
    <t>Methodenparameter auf Basic-Java-Code anpassen: auftragAnlegen(int auftragsNummer).</t>
  </si>
  <si>
    <t>Persistence-Schicht</t>
  </si>
  <si>
    <t>Mock-DB/ArrayList ist konsistent.</t>
  </si>
  <si>
    <t>Integriertes Klassendiagramm</t>
  </si>
  <si>
    <t>Kapitel 6.2</t>
  </si>
  <si>
    <t>Nach Methodenanpassung Diagramm aktualisieren.</t>
  </si>
  <si>
    <t>Komponentendiagramm</t>
  </si>
  <si>
    <t>Kapitel 6.1</t>
  </si>
  <si>
    <t>Clean-Architecture-Abhängigkeiten sind nachvollziehbar.</t>
  </si>
  <si>
    <t>Sequenzdiagramm</t>
  </si>
  <si>
    <t>Kapitel 7</t>
  </si>
  <si>
    <t>Parameter und Ablauf auf neue Methode/Code anpassen.</t>
  </si>
  <si>
    <t>Glossar / Feedback / Arbeitsprotokoll</t>
  </si>
  <si>
    <t>Kapitel 8-10</t>
  </si>
  <si>
    <t>Arbeitsprotokoll und Feedback nur mit belegten Terminen führen.</t>
  </si>
  <si>
    <t>Code-ZIP noch effektiv importieren und prüfen.</t>
  </si>
  <si>
    <t>Wenn Code exakt so ist, passt es.</t>
  </si>
  <si>
    <t>Presentation-Schicht</t>
  </si>
  <si>
    <t>ConsoleClient und main-Methode im Code prüfen.</t>
  </si>
  <si>
    <t>Unit-Tests Persistence/Business</t>
  </si>
  <si>
    <t>Einfache Java-Tests sind okay dokumentiert, aber Testlauf-Screenshot ergänzen.</t>
  </si>
  <si>
    <t>Endbenutzertest</t>
  </si>
  <si>
    <t>Kapitel 8</t>
  </si>
  <si>
    <t>Screenshot/Console-Ausgabe in Dokument oder Anhang aufnehmen.</t>
  </si>
  <si>
    <t>Javadoc</t>
  </si>
  <si>
    <t>Kapitel 9</t>
  </si>
  <si>
    <t>Javadoc generieren und Status von 'später' auf 'erledigt' ändern.</t>
  </si>
  <si>
    <t>Präsentation</t>
  </si>
  <si>
    <t>Kapitel 10</t>
  </si>
  <si>
    <t>Finale Präsentation/PDF erstellen und beide Rollen abdecken.</t>
  </si>
  <si>
    <t>Arbeitsprotokoll / Schreibweise</t>
  </si>
  <si>
    <t>Kapitel 12 / Gesamtdokument</t>
  </si>
  <si>
    <t>Typo 'tatusAendern...' und Datumsstatus korrigieren.</t>
  </si>
  <si>
    <t>Aufgabe 1: Projektauftrag</t>
  </si>
  <si>
    <t>Projektauftrag und priorisierte Anforderungen für WerkstattPilot</t>
  </si>
  <si>
    <t>0.1 Prüfungsabdeckung</t>
  </si>
  <si>
    <t>Abdeckung</t>
  </si>
  <si>
    <t>Anpassung</t>
  </si>
  <si>
    <t>Kommentar</t>
  </si>
  <si>
    <t>Abgleich nötig</t>
  </si>
  <si>
    <t>ja</t>
  </si>
  <si>
    <t>Aufgabe 2: Projektumgebung definieren und dokumentieren</t>
  </si>
  <si>
    <t>Gemeinsame Projektumgebung, Ordnerstruktur und Entwicklungswerkzeuge</t>
  </si>
  <si>
    <t>Aufgabe 3: Objektorientierte Analyse (OOA)</t>
  </si>
  <si>
    <t>Analysemodell mit Fachklassenmodell und Zustandsmodell Auftrag</t>
  </si>
  <si>
    <t>Aufgabe 4: Objektorientiertes Design (OOD)</t>
  </si>
  <si>
    <t>Designmodell mit 3-Schichtenarchitektur, Repository, Factory und Sequenzdiagramm</t>
  </si>
  <si>
    <t>Aufgabe 5: Objektorientierte Implementation / Programmierung (OOP)</t>
  </si>
  <si>
    <t>Java-Prototyp für die fachliche Klasse Auftrag</t>
  </si>
  <si>
    <t>Nr</t>
  </si>
  <si>
    <t>Schritt</t>
  </si>
  <si>
    <t>Beschreibung</t>
  </si>
  <si>
    <t>Priorität</t>
  </si>
  <si>
    <t>Termin</t>
  </si>
  <si>
    <t>1</t>
  </si>
  <si>
    <t>Gesamtdokument erstellen</t>
  </si>
  <si>
    <t>Alle fünf Aufgaben in ein einziges Dokument mit Hauptkapiteln zusammenführen.</t>
  </si>
  <si>
    <t>hoch</t>
  </si>
  <si>
    <t>vor Abgabe</t>
  </si>
  <si>
    <t>2</t>
  </si>
  <si>
    <t>Titelstruktur vereinheitlichen</t>
  </si>
  <si>
    <t>Jede Aufgabe erhält Titel 'Aufgabe X: ...' plus hellblauen Untertitel wie bei Aufgabe 5.</t>
  </si>
  <si>
    <t>3</t>
  </si>
  <si>
    <t>0.1 Prüfungsabdeckung ergänzen</t>
  </si>
  <si>
    <t>Pro Aufgabe eine Abdeckungstabelle direkt am Anfang einfügen.</t>
  </si>
  <si>
    <t>4</t>
  </si>
  <si>
    <t>A2/A4/A5 Tooling vereinheitlichen</t>
  </si>
  <si>
    <t>Eclipse/Basic Java/Mock-DB/keine externe DB einheitlich dokumentieren.</t>
  </si>
  <si>
    <t>5</t>
  </si>
  <si>
    <t>A4 an A5-Code angleichen</t>
  </si>
  <si>
    <t>Methoden, Klassendiagramm und Sequenzdiagramm an die Basic-Java-Implementation anpassen.</t>
  </si>
  <si>
    <t>6</t>
  </si>
  <si>
    <t>Code-ZIP importieren</t>
  </si>
  <si>
    <t>Eclipse Import testen, main starten, Testklassen starten.</t>
  </si>
  <si>
    <t>7</t>
  </si>
  <si>
    <t>Javadoc erzeugen</t>
  </si>
  <si>
    <t>Befehl ausführen, javadoc_html/index.html prüfen und in ZIP/Abgabe aufnehmen.</t>
  </si>
  <si>
    <t>8</t>
  </si>
  <si>
    <t>Arbeitsprotokoll finalisieren</t>
  </si>
  <si>
    <t>Effektive Zeiten prüfen, nur korrekte Werte eintragen, beide Personen je Aufgabe sichtbar machen.</t>
  </si>
  <si>
    <t>9</t>
  </si>
  <si>
    <t>Issue Tracking aktualisieren</t>
  </si>
  <si>
    <t>Alle offenen Punkte schliessen oder mit Status 'nicht relevant' begründen.</t>
  </si>
  <si>
    <t>mittel</t>
  </si>
  <si>
    <t>10</t>
  </si>
  <si>
    <t>Präsentation finalisieren</t>
  </si>
  <si>
    <t>10-15 Minuten, beide Personen, Projektumgebung-Auftrag-Analyse-Design-Prototyp.</t>
  </si>
  <si>
    <t>bis Präsentation</t>
  </si>
  <si>
    <t>arbeitsgruppe3-arbeitsprotokoll.xls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</si>
</sst>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%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b/>
      <sz val="11"/>
      <color rgb="FF1F4E79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0" fontId="3" fillId="2" borderId="0" xfId="1" applyFont="1" applyFill="1"/>
    <xf numFmtId="2" fontId="0" fillId="0" borderId="0" xfId="1" applyNumberFormat="1" applyFont="1"/>
    <xf numFmtId="0" fontId="3" fillId="2" borderId="0" xfId="1" applyFont="1" applyFill="1" applyAlignment="1">
      <alignment horizontal="center" vertical="center" wrapText="1"/>
    </xf>
    <xf numFmtId="1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65" fontId="0" fillId="0" borderId="0" xfId="1" applyNumberFormat="1" applyFont="1"/>
    <xf numFmtId="0" fontId="3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/>
    </xf>
    <xf numFmtId="0" fontId="0" fillId="0" borderId="0" xfId="0"/>
    <xf numFmtId="0" fontId="0" fillId="0" borderId="0" xfId="1" applyFont="1" applyAlignment="1">
      <alignment wrapText="1"/>
    </xf>
    <xf numFmtId="0" fontId="4" fillId="2" borderId="0" xfId="1" applyFont="1" applyFill="1" applyAlignment="1">
      <alignment horizontal="center"/>
    </xf>
    <xf numFmtId="0" fontId="5" fillId="3" borderId="0" xfId="1" applyFont="1" applyFill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beitsprotokollTable" displayName="ArbeitsprotokollTable" ref="A1:H27">
  <tableColumns count="8">
    <tableColumn id="1" xr3:uid="{00000000-0010-0000-0000-000001000000}" name="Datum"/>
    <tableColumn id="2" xr3:uid="{00000000-0010-0000-0000-000002000000}" name="Aufgabe"/>
    <tableColumn id="3" xr3:uid="{00000000-0010-0000-0000-000003000000}" name="Person"/>
    <tableColumn id="4" xr3:uid="{00000000-0010-0000-0000-000004000000}" name="Aufwand/min"/>
    <tableColumn id="5" xr3:uid="{00000000-0010-0000-0000-000005000000}" name="Aufwand/h"/>
    <tableColumn id="6" xr3:uid="{00000000-0010-0000-0000-000006000000}" name="Tätigkeit"/>
    <tableColumn id="7" xr3:uid="{00000000-0010-0000-0000-000007000000}" name="Ergebnis"/>
    <tableColumn id="8" xr3:uid="{00000000-0010-0000-0000-000008000000}" name="Kommentar / Nach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uefungsabdeckungTable" displayName="PruefungsabdeckungTable" ref="A1:E32">
  <tableColumns count="5">
    <tableColumn id="1" xr3:uid="{00000000-0010-0000-0100-000001000000}" name="Aufgabe"/>
    <tableColumn id="2" xr3:uid="{00000000-0010-0000-0100-000002000000}" name="Prüfziel / Bewertungsgegenstand"/>
    <tableColumn id="3" xr3:uid="{00000000-0010-0000-0100-000003000000}" name="Abdeckung im Dokument"/>
    <tableColumn id="4" xr3:uid="{00000000-0010-0000-0100-000004000000}" name="Status"/>
    <tableColumn id="5" xr3:uid="{00000000-0010-0000-0100-000005000000}" name="Empfohlene Anpass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extStepsTable" displayName="NextStepsTable" ref="A1:E11">
  <tableColumns count="5">
    <tableColumn id="1" xr3:uid="{00000000-0010-0000-0200-000001000000}" name="Nr"/>
    <tableColumn id="2" xr3:uid="{00000000-0010-0000-0200-000002000000}" name="Schritt"/>
    <tableColumn id="3" xr3:uid="{00000000-0010-0000-0200-000003000000}" name="Beschreibung"/>
    <tableColumn id="4" xr3:uid="{00000000-0010-0000-0200-000004000000}" name="Priorität"/>
    <tableColumn id="5" xr3:uid="{00000000-0010-0000-0200-000005000000}" name="Ter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A10" sqref="A10:B15"/>
    </sheetView>
  </sheetViews>
  <sheetFormatPr baseColWidth="10" defaultColWidth="9" defaultRowHeight="14.25"/>
  <cols>
    <col min="1" max="1" width="16.375" customWidth="1"/>
    <col min="2" max="2" width="64.25" customWidth="1"/>
  </cols>
  <sheetData>
    <row r="1" spans="1:8" ht="18">
      <c r="A1" s="12" t="s">
        <v>0</v>
      </c>
      <c r="B1" s="13"/>
      <c r="C1" s="13"/>
      <c r="D1" s="13"/>
      <c r="E1" s="13"/>
      <c r="F1" s="13"/>
      <c r="G1" s="13"/>
      <c r="H1" s="13"/>
    </row>
    <row r="3" spans="1:8" ht="15">
      <c r="A3" s="1" t="s">
        <v>1</v>
      </c>
    </row>
    <row r="4" spans="1:8">
      <c r="A4" s="14" t="s">
        <v>2</v>
      </c>
      <c r="B4" s="13"/>
      <c r="C4" s="13"/>
      <c r="D4" s="13"/>
      <c r="E4" s="13"/>
      <c r="F4" s="13"/>
      <c r="G4" s="13"/>
      <c r="H4" s="13"/>
    </row>
    <row r="10" spans="1:8" ht="15">
      <c r="A10" s="3" t="s">
        <v>3</v>
      </c>
      <c r="B10" s="2" t="s">
        <v>4</v>
      </c>
    </row>
    <row r="11" spans="1:8" ht="15">
      <c r="A11" s="3" t="s">
        <v>5</v>
      </c>
      <c r="B11" s="2" t="s">
        <v>6</v>
      </c>
    </row>
    <row r="12" spans="1:8" ht="15">
      <c r="A12" s="3" t="s">
        <v>7</v>
      </c>
      <c r="B12" s="2" t="s">
        <v>8</v>
      </c>
    </row>
    <row r="13" spans="1:8" ht="15">
      <c r="A13" s="3" t="s">
        <v>9</v>
      </c>
      <c r="B13" s="4" t="s">
        <v>10</v>
      </c>
    </row>
    <row r="14" spans="1:8" ht="17.25" customHeight="1">
      <c r="A14" s="3" t="s">
        <v>11</v>
      </c>
      <c r="B14" s="2" t="s">
        <v>12</v>
      </c>
    </row>
    <row r="15" spans="1:8" ht="15">
      <c r="A15" s="3" t="s">
        <v>13</v>
      </c>
      <c r="B15" s="2" t="s">
        <v>14</v>
      </c>
    </row>
  </sheetData>
  <mergeCells count="2">
    <mergeCell ref="A1:H1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F27" sqref="F27"/>
    </sheetView>
  </sheetViews>
  <sheetFormatPr baseColWidth="10" defaultColWidth="62.25" defaultRowHeight="14.25"/>
  <cols>
    <col min="1" max="1" width="9.875" bestFit="1" customWidth="1"/>
    <col min="2" max="2" width="11.25" bestFit="1" customWidth="1"/>
    <col min="3" max="3" width="12.5" bestFit="1" customWidth="1"/>
    <col min="4" max="4" width="12.125" bestFit="1" customWidth="1"/>
    <col min="5" max="5" width="10" bestFit="1" customWidth="1"/>
    <col min="6" max="6" width="60.125" bestFit="1" customWidth="1"/>
    <col min="7" max="7" width="61.75" bestFit="1" customWidth="1"/>
    <col min="8" max="8" width="39.125" bestFit="1" customWidth="1"/>
  </cols>
  <sheetData>
    <row r="1" spans="1:8" ht="15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</row>
    <row r="2" spans="1:8">
      <c r="A2" s="4" t="s">
        <v>23</v>
      </c>
      <c r="B2" s="2" t="s">
        <v>24</v>
      </c>
      <c r="C2" s="2" t="s">
        <v>25</v>
      </c>
      <c r="D2" s="8">
        <v>80</v>
      </c>
      <c r="E2" s="9">
        <v>1.33</v>
      </c>
      <c r="F2" s="2" t="s">
        <v>26</v>
      </c>
      <c r="G2" s="2" t="s">
        <v>27</v>
      </c>
      <c r="H2" s="2" t="s">
        <v>28</v>
      </c>
    </row>
    <row r="3" spans="1:8">
      <c r="A3" s="4" t="s">
        <v>23</v>
      </c>
      <c r="B3" s="2" t="s">
        <v>24</v>
      </c>
      <c r="C3" s="2" t="s">
        <v>29</v>
      </c>
      <c r="D3" s="8">
        <v>80</v>
      </c>
      <c r="E3" s="9">
        <v>1.33</v>
      </c>
      <c r="F3" s="2" t="s">
        <v>30</v>
      </c>
      <c r="G3" s="2" t="s">
        <v>31</v>
      </c>
      <c r="H3" s="2" t="s">
        <v>28</v>
      </c>
    </row>
    <row r="4" spans="1:8">
      <c r="A4" s="4" t="s">
        <v>32</v>
      </c>
      <c r="B4" s="2" t="s">
        <v>33</v>
      </c>
      <c r="C4" s="2" t="s">
        <v>25</v>
      </c>
      <c r="D4" s="8">
        <v>75</v>
      </c>
      <c r="E4" s="9">
        <v>1.25</v>
      </c>
      <c r="F4" s="2" t="s">
        <v>34</v>
      </c>
      <c r="G4" s="2" t="s">
        <v>35</v>
      </c>
      <c r="H4" s="2" t="s">
        <v>36</v>
      </c>
    </row>
    <row r="5" spans="1:8">
      <c r="A5" s="4" t="s">
        <v>32</v>
      </c>
      <c r="B5" s="2" t="s">
        <v>33</v>
      </c>
      <c r="C5" s="2" t="s">
        <v>29</v>
      </c>
      <c r="D5" s="8">
        <v>75</v>
      </c>
      <c r="E5" s="9">
        <v>1.25</v>
      </c>
      <c r="F5" s="2" t="s">
        <v>37</v>
      </c>
      <c r="G5" s="2" t="s">
        <v>38</v>
      </c>
      <c r="H5" s="2" t="s">
        <v>36</v>
      </c>
    </row>
    <row r="6" spans="1:8">
      <c r="A6" s="4" t="s">
        <v>39</v>
      </c>
      <c r="B6" s="2" t="s">
        <v>40</v>
      </c>
      <c r="C6" s="2" t="s">
        <v>25</v>
      </c>
      <c r="D6" s="8">
        <v>85</v>
      </c>
      <c r="E6" s="9">
        <v>1.42</v>
      </c>
      <c r="F6" s="2" t="s">
        <v>41</v>
      </c>
      <c r="G6" s="2" t="s">
        <v>42</v>
      </c>
      <c r="H6" s="2" t="s">
        <v>43</v>
      </c>
    </row>
    <row r="7" spans="1:8">
      <c r="A7" s="4" t="s">
        <v>39</v>
      </c>
      <c r="B7" s="2" t="s">
        <v>40</v>
      </c>
      <c r="C7" s="2" t="s">
        <v>29</v>
      </c>
      <c r="D7" s="8">
        <v>85</v>
      </c>
      <c r="E7" s="9">
        <v>1.42</v>
      </c>
      <c r="F7" s="2" t="s">
        <v>44</v>
      </c>
      <c r="G7" s="2" t="s">
        <v>45</v>
      </c>
      <c r="H7" s="2" t="s">
        <v>43</v>
      </c>
    </row>
    <row r="8" spans="1:8">
      <c r="A8" s="4" t="s">
        <v>46</v>
      </c>
      <c r="B8" s="2" t="s">
        <v>40</v>
      </c>
      <c r="C8" s="2" t="s">
        <v>25</v>
      </c>
      <c r="D8" s="8">
        <v>120</v>
      </c>
      <c r="E8" s="9">
        <v>2</v>
      </c>
      <c r="F8" s="2" t="s">
        <v>47</v>
      </c>
      <c r="G8" s="2" t="s">
        <v>48</v>
      </c>
      <c r="H8" s="2" t="s">
        <v>49</v>
      </c>
    </row>
    <row r="9" spans="1:8">
      <c r="A9" s="4" t="s">
        <v>46</v>
      </c>
      <c r="B9" s="2" t="s">
        <v>40</v>
      </c>
      <c r="C9" s="2" t="s">
        <v>29</v>
      </c>
      <c r="D9" s="8">
        <v>120</v>
      </c>
      <c r="E9" s="9">
        <v>2</v>
      </c>
      <c r="F9" s="2" t="s">
        <v>47</v>
      </c>
      <c r="G9" s="2" t="s">
        <v>50</v>
      </c>
      <c r="H9" s="2" t="s">
        <v>49</v>
      </c>
    </row>
    <row r="10" spans="1:8">
      <c r="A10" s="4" t="s">
        <v>51</v>
      </c>
      <c r="B10" s="2" t="s">
        <v>40</v>
      </c>
      <c r="C10" s="2" t="s">
        <v>25</v>
      </c>
      <c r="D10" s="8">
        <v>80</v>
      </c>
      <c r="E10" s="9">
        <v>1.33</v>
      </c>
      <c r="F10" s="2" t="s">
        <v>52</v>
      </c>
      <c r="G10" s="2" t="s">
        <v>53</v>
      </c>
      <c r="H10" s="2" t="s">
        <v>54</v>
      </c>
    </row>
    <row r="11" spans="1:8">
      <c r="A11" s="4" t="s">
        <v>51</v>
      </c>
      <c r="B11" s="2" t="s">
        <v>40</v>
      </c>
      <c r="C11" s="2" t="s">
        <v>29</v>
      </c>
      <c r="D11" s="8">
        <v>80</v>
      </c>
      <c r="E11" s="9">
        <v>1.33</v>
      </c>
      <c r="F11" s="2" t="s">
        <v>55</v>
      </c>
      <c r="G11" s="2" t="s">
        <v>56</v>
      </c>
      <c r="H11" s="2" t="s">
        <v>54</v>
      </c>
    </row>
    <row r="12" spans="1:8">
      <c r="A12" s="4" t="s">
        <v>57</v>
      </c>
      <c r="B12" s="2" t="s">
        <v>58</v>
      </c>
      <c r="C12" s="2" t="s">
        <v>25</v>
      </c>
      <c r="D12" s="8">
        <v>110</v>
      </c>
      <c r="E12" s="9">
        <v>1.83</v>
      </c>
      <c r="F12" s="2" t="s">
        <v>59</v>
      </c>
      <c r="G12" s="2" t="s">
        <v>60</v>
      </c>
      <c r="H12" s="2" t="s">
        <v>61</v>
      </c>
    </row>
    <row r="13" spans="1:8">
      <c r="A13" s="4" t="s">
        <v>57</v>
      </c>
      <c r="B13" s="2" t="s">
        <v>58</v>
      </c>
      <c r="C13" s="2" t="s">
        <v>29</v>
      </c>
      <c r="D13" s="8">
        <v>110</v>
      </c>
      <c r="E13" s="9">
        <v>1.83</v>
      </c>
      <c r="F13" s="2" t="s">
        <v>62</v>
      </c>
      <c r="G13" s="2" t="s">
        <v>63</v>
      </c>
      <c r="H13" s="2" t="s">
        <v>61</v>
      </c>
    </row>
    <row r="14" spans="1:8">
      <c r="A14" s="4" t="s">
        <v>64</v>
      </c>
      <c r="B14" s="2" t="s">
        <v>58</v>
      </c>
      <c r="C14" s="2" t="s">
        <v>25</v>
      </c>
      <c r="D14" s="8">
        <v>95</v>
      </c>
      <c r="E14" s="9">
        <v>1.58</v>
      </c>
      <c r="F14" s="2" t="s">
        <v>65</v>
      </c>
      <c r="G14" s="2" t="s">
        <v>66</v>
      </c>
      <c r="H14" s="2" t="s">
        <v>67</v>
      </c>
    </row>
    <row r="15" spans="1:8">
      <c r="A15" s="4" t="s">
        <v>64</v>
      </c>
      <c r="B15" s="2" t="s">
        <v>58</v>
      </c>
      <c r="C15" s="2" t="s">
        <v>29</v>
      </c>
      <c r="D15" s="8">
        <v>95</v>
      </c>
      <c r="E15" s="9">
        <v>1.58</v>
      </c>
      <c r="F15" s="2" t="s">
        <v>68</v>
      </c>
      <c r="G15" s="2" t="s">
        <v>69</v>
      </c>
      <c r="H15" s="2" t="s">
        <v>67</v>
      </c>
    </row>
    <row r="16" spans="1:8">
      <c r="A16" s="4" t="s">
        <v>70</v>
      </c>
      <c r="B16" s="2" t="s">
        <v>58</v>
      </c>
      <c r="C16" s="2" t="s">
        <v>25</v>
      </c>
      <c r="D16" s="8">
        <v>120</v>
      </c>
      <c r="E16" s="9">
        <v>2</v>
      </c>
      <c r="F16" s="2" t="s">
        <v>71</v>
      </c>
      <c r="G16" s="2" t="s">
        <v>72</v>
      </c>
      <c r="H16" s="2" t="s">
        <v>73</v>
      </c>
    </row>
    <row r="17" spans="1:8">
      <c r="A17" s="4" t="s">
        <v>70</v>
      </c>
      <c r="B17" s="2" t="s">
        <v>58</v>
      </c>
      <c r="C17" s="2" t="s">
        <v>29</v>
      </c>
      <c r="D17" s="8">
        <v>120</v>
      </c>
      <c r="E17" s="9">
        <v>2</v>
      </c>
      <c r="F17" s="2" t="s">
        <v>74</v>
      </c>
      <c r="G17" s="2" t="s">
        <v>75</v>
      </c>
      <c r="H17" s="2" t="s">
        <v>73</v>
      </c>
    </row>
    <row r="18" spans="1:8">
      <c r="A18" s="4" t="s">
        <v>76</v>
      </c>
      <c r="B18" s="2" t="s">
        <v>58</v>
      </c>
      <c r="C18" s="2" t="s">
        <v>25</v>
      </c>
      <c r="D18" s="8">
        <v>90</v>
      </c>
      <c r="E18" s="9">
        <v>1.5</v>
      </c>
      <c r="F18" s="2" t="s">
        <v>77</v>
      </c>
      <c r="G18" s="2" t="s">
        <v>78</v>
      </c>
      <c r="H18" s="2" t="s">
        <v>79</v>
      </c>
    </row>
    <row r="19" spans="1:8">
      <c r="A19" s="4" t="s">
        <v>76</v>
      </c>
      <c r="B19" s="2" t="s">
        <v>58</v>
      </c>
      <c r="C19" s="2" t="s">
        <v>29</v>
      </c>
      <c r="D19" s="8">
        <v>90</v>
      </c>
      <c r="E19" s="9">
        <v>1.5</v>
      </c>
      <c r="F19" s="2" t="s">
        <v>80</v>
      </c>
      <c r="G19" s="2" t="s">
        <v>81</v>
      </c>
      <c r="H19" s="2" t="s">
        <v>79</v>
      </c>
    </row>
    <row r="20" spans="1:8">
      <c r="A20" s="4" t="s">
        <v>76</v>
      </c>
      <c r="B20" s="2" t="s">
        <v>82</v>
      </c>
      <c r="C20" s="2" t="s">
        <v>25</v>
      </c>
      <c r="D20" s="8">
        <v>95</v>
      </c>
      <c r="E20" s="9">
        <v>1.58</v>
      </c>
      <c r="F20" s="2" t="s">
        <v>83</v>
      </c>
      <c r="G20" s="2" t="s">
        <v>84</v>
      </c>
      <c r="H20" s="2" t="s">
        <v>85</v>
      </c>
    </row>
    <row r="21" spans="1:8">
      <c r="A21" s="4" t="s">
        <v>76</v>
      </c>
      <c r="B21" s="2" t="s">
        <v>82</v>
      </c>
      <c r="C21" s="2" t="s">
        <v>29</v>
      </c>
      <c r="D21" s="8">
        <v>95</v>
      </c>
      <c r="E21" s="9">
        <v>1.58</v>
      </c>
      <c r="F21" s="2" t="s">
        <v>86</v>
      </c>
      <c r="G21" s="2" t="s">
        <v>87</v>
      </c>
      <c r="H21" s="2" t="s">
        <v>85</v>
      </c>
    </row>
    <row r="22" spans="1:8">
      <c r="A22" s="4" t="s">
        <v>88</v>
      </c>
      <c r="B22" s="2" t="s">
        <v>82</v>
      </c>
      <c r="C22" s="2" t="s">
        <v>25</v>
      </c>
      <c r="D22" s="8">
        <v>150</v>
      </c>
      <c r="E22" s="9">
        <v>2.5</v>
      </c>
      <c r="F22" s="2" t="s">
        <v>89</v>
      </c>
      <c r="G22" s="2" t="s">
        <v>90</v>
      </c>
      <c r="H22" s="2" t="s">
        <v>91</v>
      </c>
    </row>
    <row r="23" spans="1:8">
      <c r="A23" s="4" t="s">
        <v>88</v>
      </c>
      <c r="B23" s="2" t="s">
        <v>82</v>
      </c>
      <c r="C23" s="2" t="s">
        <v>29</v>
      </c>
      <c r="D23" s="8">
        <v>150</v>
      </c>
      <c r="E23" s="9">
        <v>2.5</v>
      </c>
      <c r="F23" s="2" t="s">
        <v>92</v>
      </c>
      <c r="G23" s="2" t="s">
        <v>93</v>
      </c>
      <c r="H23" s="2" t="s">
        <v>91</v>
      </c>
    </row>
    <row r="24" spans="1:8">
      <c r="A24" s="4" t="s">
        <v>94</v>
      </c>
      <c r="B24" s="2" t="s">
        <v>82</v>
      </c>
      <c r="C24" s="2" t="s">
        <v>25</v>
      </c>
      <c r="D24" s="8">
        <v>180</v>
      </c>
      <c r="E24" s="9">
        <v>3</v>
      </c>
      <c r="F24" s="2" t="s">
        <v>95</v>
      </c>
      <c r="G24" s="2" t="s">
        <v>96</v>
      </c>
      <c r="H24" s="2" t="s">
        <v>97</v>
      </c>
    </row>
    <row r="25" spans="1:8">
      <c r="A25" s="4" t="s">
        <v>94</v>
      </c>
      <c r="B25" s="2" t="s">
        <v>82</v>
      </c>
      <c r="C25" s="2" t="s">
        <v>29</v>
      </c>
      <c r="D25" s="8">
        <v>180</v>
      </c>
      <c r="E25" s="9">
        <v>3</v>
      </c>
      <c r="F25" s="2" t="s">
        <v>98</v>
      </c>
      <c r="G25" s="2" t="s">
        <v>99</v>
      </c>
      <c r="H25" s="2" t="s">
        <v>97</v>
      </c>
    </row>
    <row r="26" spans="1:8">
      <c r="A26" s="4" t="s">
        <v>10</v>
      </c>
      <c r="B26" s="2" t="s">
        <v>100</v>
      </c>
      <c r="C26" s="2" t="s">
        <v>25</v>
      </c>
      <c r="D26" s="8">
        <v>150</v>
      </c>
      <c r="E26" s="9">
        <v>2.5</v>
      </c>
      <c r="F26" s="2" t="s">
        <v>101</v>
      </c>
      <c r="G26" s="2" t="s">
        <v>102</v>
      </c>
      <c r="H26" s="2" t="s">
        <v>103</v>
      </c>
    </row>
    <row r="27" spans="1:8">
      <c r="A27" s="4" t="s">
        <v>10</v>
      </c>
      <c r="B27" s="2" t="s">
        <v>100</v>
      </c>
      <c r="C27" s="2" t="s">
        <v>29</v>
      </c>
      <c r="D27" s="8">
        <v>140</v>
      </c>
      <c r="E27" s="9">
        <v>2.33</v>
      </c>
      <c r="F27" s="2" t="s">
        <v>104</v>
      </c>
      <c r="G27" s="2" t="s">
        <v>105</v>
      </c>
      <c r="H27" s="2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F6" sqref="F6"/>
    </sheetView>
  </sheetViews>
  <sheetFormatPr baseColWidth="10" defaultColWidth="9" defaultRowHeight="14.25"/>
  <cols>
    <col min="1" max="1" width="24" customWidth="1"/>
    <col min="2" max="2" width="16" customWidth="1"/>
    <col min="3" max="3" width="14" customWidth="1"/>
    <col min="4" max="4" width="16" customWidth="1"/>
    <col min="5" max="5" width="18" customWidth="1"/>
    <col min="6" max="6" width="32.25" customWidth="1"/>
    <col min="7" max="7" width="18" customWidth="1"/>
    <col min="8" max="8" width="32" customWidth="1"/>
  </cols>
  <sheetData>
    <row r="1" spans="1:8" ht="18">
      <c r="A1" s="12" t="s">
        <v>106</v>
      </c>
      <c r="B1" s="13"/>
      <c r="C1" s="13"/>
      <c r="D1" s="13"/>
      <c r="E1" s="13"/>
      <c r="F1" s="13"/>
      <c r="G1" s="13"/>
      <c r="H1" s="13"/>
    </row>
    <row r="3" spans="1:8" ht="15">
      <c r="A3" s="5" t="s">
        <v>17</v>
      </c>
      <c r="B3" s="5" t="s">
        <v>18</v>
      </c>
      <c r="C3" s="5" t="s">
        <v>19</v>
      </c>
      <c r="D3" s="5" t="s">
        <v>107</v>
      </c>
      <c r="E3" s="5" t="s">
        <v>108</v>
      </c>
      <c r="F3" s="5" t="s">
        <v>109</v>
      </c>
      <c r="G3" s="5" t="s">
        <v>110</v>
      </c>
      <c r="H3" s="5" t="s">
        <v>1</v>
      </c>
    </row>
    <row r="4" spans="1:8">
      <c r="A4" t="s">
        <v>25</v>
      </c>
      <c r="B4" s="6">
        <f>SUMIF(Arbeitsprotokoll!$C:$C,A4,Arbeitsprotokoll!$D:$D)</f>
        <v>1430</v>
      </c>
      <c r="C4" s="6">
        <f>B4/60</f>
        <v>23.833333333333332</v>
      </c>
      <c r="D4" s="10">
        <f>C4/SUM($C$4:$C$5)</f>
        <v>0.50175438596491229</v>
      </c>
      <c r="E4" s="10">
        <f>(C4-AVERAGE($C$4:$C$5))/AVERAGE($C$4:$C$5)</f>
        <v>3.5087719298245116E-3</v>
      </c>
      <c r="F4" t="s">
        <v>111</v>
      </c>
      <c r="G4" t="s">
        <v>112</v>
      </c>
      <c r="H4" t="s">
        <v>113</v>
      </c>
    </row>
    <row r="5" spans="1:8">
      <c r="A5" t="s">
        <v>29</v>
      </c>
      <c r="B5" s="6">
        <f>SUMIF(Arbeitsprotokoll!$C:$C,A5,Arbeitsprotokoll!$D:$D)</f>
        <v>1420</v>
      </c>
      <c r="C5" s="6">
        <f>B5/60</f>
        <v>23.666666666666668</v>
      </c>
      <c r="D5" s="10">
        <f>C5/SUM($C$4:$C$5)</f>
        <v>0.49824561403508777</v>
      </c>
      <c r="E5" s="10">
        <f>(C5-AVERAGE($C$4:$C$5))/AVERAGE($C$4:$C$5)</f>
        <v>-3.5087719298245116E-3</v>
      </c>
      <c r="F5" t="s">
        <v>114</v>
      </c>
      <c r="G5" t="s">
        <v>115</v>
      </c>
      <c r="H5" t="s">
        <v>116</v>
      </c>
    </row>
    <row r="6" spans="1:8">
      <c r="A6" t="s">
        <v>117</v>
      </c>
      <c r="B6" s="6">
        <f>SUM(B4:B5)</f>
        <v>2850</v>
      </c>
      <c r="C6" s="6">
        <f>SUM(C4:C5)</f>
        <v>47.5</v>
      </c>
      <c r="D6" s="10"/>
      <c r="F6" t="s">
        <v>118</v>
      </c>
      <c r="G6" t="s">
        <v>119</v>
      </c>
      <c r="H6" t="s">
        <v>120</v>
      </c>
    </row>
    <row r="7" spans="1:8">
      <c r="F7" t="s">
        <v>121</v>
      </c>
      <c r="G7" t="s">
        <v>119</v>
      </c>
      <c r="H7" t="s">
        <v>122</v>
      </c>
    </row>
    <row r="9" spans="1:8" ht="15">
      <c r="A9" s="5" t="s">
        <v>16</v>
      </c>
      <c r="B9" s="5" t="s">
        <v>123</v>
      </c>
      <c r="C9" s="5" t="s">
        <v>124</v>
      </c>
      <c r="D9" s="5" t="s">
        <v>125</v>
      </c>
    </row>
    <row r="10" spans="1:8">
      <c r="A10" t="s">
        <v>24</v>
      </c>
      <c r="B10" s="6">
        <f>SUMIFS(Arbeitsprotokoll!$E:$E,Arbeitsprotokoll!$B:$B,A10,Arbeitsprotokoll!$C:$C,"Livio Luna")</f>
        <v>1.33</v>
      </c>
      <c r="C10" s="6">
        <f>SUMIFS(Arbeitsprotokoll!$E:$E,Arbeitsprotokoll!$B:$B,A10,Arbeitsprotokoll!$C:$C,"Dominic Lolos")</f>
        <v>1.33</v>
      </c>
      <c r="D10" s="6">
        <f t="shared" ref="D10:D15" si="0">B10-C10</f>
        <v>0</v>
      </c>
    </row>
    <row r="11" spans="1:8">
      <c r="A11" t="s">
        <v>33</v>
      </c>
      <c r="B11" s="6">
        <f>SUMIFS(Arbeitsprotokoll!$E:$E,Arbeitsprotokoll!$B:$B,A11,Arbeitsprotokoll!$C:$C,"Livio Luna")</f>
        <v>1.25</v>
      </c>
      <c r="C11" s="6">
        <f>SUMIFS(Arbeitsprotokoll!$E:$E,Arbeitsprotokoll!$B:$B,A11,Arbeitsprotokoll!$C:$C,"Dominic Lolos")</f>
        <v>1.25</v>
      </c>
      <c r="D11" s="6">
        <f t="shared" si="0"/>
        <v>0</v>
      </c>
    </row>
    <row r="12" spans="1:8">
      <c r="A12" t="s">
        <v>40</v>
      </c>
      <c r="B12" s="6">
        <f>SUMIFS(Arbeitsprotokoll!$E:$E,Arbeitsprotokoll!$B:$B,A12,Arbeitsprotokoll!$C:$C,"Livio Luna")</f>
        <v>4.75</v>
      </c>
      <c r="C12" s="6">
        <f>SUMIFS(Arbeitsprotokoll!$E:$E,Arbeitsprotokoll!$B:$B,A12,Arbeitsprotokoll!$C:$C,"Dominic Lolos")</f>
        <v>4.75</v>
      </c>
      <c r="D12" s="6">
        <f t="shared" si="0"/>
        <v>0</v>
      </c>
    </row>
    <row r="13" spans="1:8">
      <c r="A13" t="s">
        <v>58</v>
      </c>
      <c r="B13" s="6">
        <f>SUMIFS(Arbeitsprotokoll!$E:$E,Arbeitsprotokoll!$B:$B,A13,Arbeitsprotokoll!$C:$C,"Livio Luna")</f>
        <v>6.91</v>
      </c>
      <c r="C13" s="6">
        <f>SUMIFS(Arbeitsprotokoll!$E:$E,Arbeitsprotokoll!$B:$B,A13,Arbeitsprotokoll!$C:$C,"Dominic Lolos")</f>
        <v>6.91</v>
      </c>
      <c r="D13" s="6">
        <f t="shared" si="0"/>
        <v>0</v>
      </c>
    </row>
    <row r="14" spans="1:8">
      <c r="A14" t="s">
        <v>82</v>
      </c>
      <c r="B14" s="6">
        <f>SUMIFS(Arbeitsprotokoll!$E:$E,Arbeitsprotokoll!$B:$B,A14,Arbeitsprotokoll!$C:$C,"Livio Luna")</f>
        <v>7.08</v>
      </c>
      <c r="C14" s="6">
        <f>SUMIFS(Arbeitsprotokoll!$E:$E,Arbeitsprotokoll!$B:$B,A14,Arbeitsprotokoll!$C:$C,"Dominic Lolos")</f>
        <v>7.08</v>
      </c>
      <c r="D14" s="6">
        <f t="shared" si="0"/>
        <v>0</v>
      </c>
    </row>
    <row r="15" spans="1:8">
      <c r="A15" t="s">
        <v>100</v>
      </c>
      <c r="B15" s="6">
        <f>SUMIFS(Arbeitsprotokoll!$E:$E,Arbeitsprotokoll!$B:$B,A15,Arbeitsprotokoll!$C:$C,"Livio Luna")</f>
        <v>2.5</v>
      </c>
      <c r="C15" s="6">
        <f>SUMIFS(Arbeitsprotokoll!$E:$E,Arbeitsprotokoll!$B:$B,A15,Arbeitsprotokoll!$C:$C,"Dominic Lolos")</f>
        <v>2.33</v>
      </c>
      <c r="D15" s="6">
        <f t="shared" si="0"/>
        <v>0.16999999999999993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tabSelected="1" workbookViewId="0">
      <selection activeCell="E9" sqref="E9"/>
    </sheetView>
  </sheetViews>
  <sheetFormatPr baseColWidth="10" defaultColWidth="9" defaultRowHeight="14.25"/>
  <cols>
    <col min="1" max="1" width="9" bestFit="1" customWidth="1"/>
    <col min="2" max="2" width="34.75" bestFit="1" customWidth="1"/>
    <col min="3" max="3" width="32.625" bestFit="1" customWidth="1"/>
    <col min="4" max="4" width="7.875" bestFit="1" customWidth="1"/>
    <col min="5" max="5" width="75.625" bestFit="1" customWidth="1"/>
  </cols>
  <sheetData>
    <row r="1" spans="1:5" ht="15">
      <c r="A1" s="11" t="s">
        <v>16</v>
      </c>
      <c r="B1" s="11" t="s">
        <v>126</v>
      </c>
      <c r="C1" s="11" t="s">
        <v>127</v>
      </c>
      <c r="D1" s="11" t="s">
        <v>110</v>
      </c>
      <c r="E1" s="11" t="s">
        <v>128</v>
      </c>
    </row>
    <row r="2" spans="1:5" ht="17.25" customHeight="1">
      <c r="A2" s="2" t="s">
        <v>24</v>
      </c>
      <c r="B2" s="2" t="s">
        <v>129</v>
      </c>
      <c r="C2" s="2" t="s">
        <v>130</v>
      </c>
      <c r="D2" s="2" t="s">
        <v>131</v>
      </c>
      <c r="E2" s="2" t="s">
        <v>132</v>
      </c>
    </row>
    <row r="3" spans="1:5">
      <c r="A3" s="2" t="s">
        <v>24</v>
      </c>
      <c r="B3" s="2" t="s">
        <v>133</v>
      </c>
      <c r="C3" s="2" t="s">
        <v>134</v>
      </c>
      <c r="D3" s="2" t="s">
        <v>131</v>
      </c>
      <c r="E3" s="2" t="s">
        <v>135</v>
      </c>
    </row>
    <row r="4" spans="1:5">
      <c r="A4" s="2" t="s">
        <v>24</v>
      </c>
      <c r="B4" s="2" t="s">
        <v>136</v>
      </c>
      <c r="C4" s="2" t="s">
        <v>137</v>
      </c>
      <c r="D4" s="2" t="s">
        <v>131</v>
      </c>
      <c r="E4" s="2" t="s">
        <v>138</v>
      </c>
    </row>
    <row r="5" spans="1:5">
      <c r="A5" s="2" t="s">
        <v>24</v>
      </c>
      <c r="B5" s="2" t="s">
        <v>139</v>
      </c>
      <c r="C5" s="2" t="s">
        <v>140</v>
      </c>
      <c r="D5" s="2" t="s">
        <v>131</v>
      </c>
      <c r="E5" s="2" t="s">
        <v>141</v>
      </c>
    </row>
    <row r="6" spans="1:5">
      <c r="A6" s="2" t="s">
        <v>24</v>
      </c>
      <c r="B6" s="2" t="s">
        <v>142</v>
      </c>
      <c r="C6" s="2" t="s">
        <v>143</v>
      </c>
      <c r="D6" s="2" t="s">
        <v>144</v>
      </c>
      <c r="E6" s="2" t="s">
        <v>145</v>
      </c>
    </row>
    <row r="7" spans="1:5">
      <c r="A7" s="2" t="s">
        <v>33</v>
      </c>
      <c r="B7" s="2" t="s">
        <v>146</v>
      </c>
      <c r="C7" s="2" t="s">
        <v>147</v>
      </c>
      <c r="D7" s="2" t="s">
        <v>131</v>
      </c>
      <c r="E7" s="2" t="s">
        <v>148</v>
      </c>
    </row>
    <row r="8" spans="1:5">
      <c r="A8" s="2" t="s">
        <v>33</v>
      </c>
      <c r="B8" s="2" t="s">
        <v>149</v>
      </c>
      <c r="C8" s="2" t="s">
        <v>150</v>
      </c>
      <c r="D8" s="2" t="s">
        <v>131</v>
      </c>
      <c r="E8" s="2" t="s">
        <v>151</v>
      </c>
    </row>
    <row r="9" spans="1:5">
      <c r="A9" s="2" t="s">
        <v>33</v>
      </c>
      <c r="B9" s="2" t="s">
        <v>152</v>
      </c>
      <c r="C9" s="2" t="s">
        <v>153</v>
      </c>
      <c r="D9" s="2" t="s">
        <v>144</v>
      </c>
      <c r="E9" s="2" t="s">
        <v>154</v>
      </c>
    </row>
    <row r="10" spans="1:5">
      <c r="A10" s="2" t="s">
        <v>33</v>
      </c>
      <c r="B10" s="2" t="s">
        <v>155</v>
      </c>
      <c r="C10" s="2" t="s">
        <v>156</v>
      </c>
      <c r="D10" s="2" t="s">
        <v>144</v>
      </c>
      <c r="E10" s="2" t="s">
        <v>157</v>
      </c>
    </row>
    <row r="11" spans="1:5">
      <c r="A11" s="2" t="s">
        <v>33</v>
      </c>
      <c r="B11" s="2" t="s">
        <v>158</v>
      </c>
      <c r="C11" s="2" t="s">
        <v>159</v>
      </c>
      <c r="D11" s="2" t="s">
        <v>131</v>
      </c>
      <c r="E11" s="2" t="s">
        <v>160</v>
      </c>
    </row>
    <row r="12" spans="1:5">
      <c r="A12" s="2" t="s">
        <v>33</v>
      </c>
      <c r="B12" s="2" t="s">
        <v>161</v>
      </c>
      <c r="C12" s="2" t="s">
        <v>162</v>
      </c>
      <c r="D12" s="2" t="s">
        <v>119</v>
      </c>
      <c r="E12" s="2" t="s">
        <v>163</v>
      </c>
    </row>
    <row r="13" spans="1:5">
      <c r="A13" s="2" t="s">
        <v>40</v>
      </c>
      <c r="B13" s="2" t="s">
        <v>164</v>
      </c>
      <c r="C13" s="2" t="s">
        <v>153</v>
      </c>
      <c r="D13" s="2" t="s">
        <v>131</v>
      </c>
      <c r="E13" s="2" t="s">
        <v>165</v>
      </c>
    </row>
    <row r="14" spans="1:5">
      <c r="A14" s="2" t="s">
        <v>40</v>
      </c>
      <c r="B14" s="2" t="s">
        <v>166</v>
      </c>
      <c r="C14" s="2" t="s">
        <v>167</v>
      </c>
      <c r="D14" s="2" t="s">
        <v>131</v>
      </c>
      <c r="E14" s="2" t="s">
        <v>168</v>
      </c>
    </row>
    <row r="15" spans="1:5">
      <c r="A15" s="2" t="s">
        <v>40</v>
      </c>
      <c r="B15" s="2" t="s">
        <v>169</v>
      </c>
      <c r="C15" s="2" t="s">
        <v>170</v>
      </c>
      <c r="D15" s="2" t="s">
        <v>131</v>
      </c>
      <c r="E15" s="2" t="s">
        <v>171</v>
      </c>
    </row>
    <row r="16" spans="1:5">
      <c r="A16" s="2" t="s">
        <v>40</v>
      </c>
      <c r="B16" s="2" t="s">
        <v>172</v>
      </c>
      <c r="C16" s="2" t="s">
        <v>173</v>
      </c>
      <c r="D16" s="2" t="s">
        <v>131</v>
      </c>
      <c r="E16" s="2" t="s">
        <v>174</v>
      </c>
    </row>
    <row r="17" spans="1:5">
      <c r="A17" s="2" t="s">
        <v>40</v>
      </c>
      <c r="B17" s="2" t="s">
        <v>175</v>
      </c>
      <c r="C17" s="2" t="s">
        <v>176</v>
      </c>
      <c r="D17" s="2" t="s">
        <v>131</v>
      </c>
      <c r="E17" s="2" t="s">
        <v>177</v>
      </c>
    </row>
    <row r="18" spans="1:5">
      <c r="A18" s="2" t="s">
        <v>40</v>
      </c>
      <c r="B18" s="2" t="s">
        <v>161</v>
      </c>
      <c r="C18" s="2" t="s">
        <v>268</v>
      </c>
      <c r="D18" s="2" t="s">
        <v>144</v>
      </c>
      <c r="E18" s="2" t="s">
        <v>178</v>
      </c>
    </row>
    <row r="19" spans="1:5">
      <c r="A19" s="2" t="s">
        <v>58</v>
      </c>
      <c r="B19" s="2" t="s">
        <v>179</v>
      </c>
      <c r="C19" s="2" t="s">
        <v>153</v>
      </c>
      <c r="D19" s="2" t="s">
        <v>144</v>
      </c>
      <c r="E19" s="2" t="s">
        <v>180</v>
      </c>
    </row>
    <row r="20" spans="1:5">
      <c r="A20" s="2" t="s">
        <v>58</v>
      </c>
      <c r="B20" s="2" t="s">
        <v>181</v>
      </c>
      <c r="C20" s="2" t="s">
        <v>173</v>
      </c>
      <c r="D20" s="2" t="s">
        <v>131</v>
      </c>
      <c r="E20" s="2" t="s">
        <v>182</v>
      </c>
    </row>
    <row r="21" spans="1:5">
      <c r="A21" s="2" t="s">
        <v>58</v>
      </c>
      <c r="B21" s="2" t="s">
        <v>183</v>
      </c>
      <c r="C21" s="2" t="s">
        <v>184</v>
      </c>
      <c r="D21" s="2" t="s">
        <v>131</v>
      </c>
      <c r="E21" s="2" t="s">
        <v>185</v>
      </c>
    </row>
    <row r="22" spans="1:5">
      <c r="A22" s="2" t="s">
        <v>58</v>
      </c>
      <c r="B22" s="2" t="s">
        <v>186</v>
      </c>
      <c r="C22" s="2" t="s">
        <v>187</v>
      </c>
      <c r="D22" s="2" t="s">
        <v>131</v>
      </c>
      <c r="E22" s="2" t="s">
        <v>188</v>
      </c>
    </row>
    <row r="23" spans="1:5">
      <c r="A23" s="2" t="s">
        <v>58</v>
      </c>
      <c r="B23" s="2" t="s">
        <v>189</v>
      </c>
      <c r="C23" s="2" t="s">
        <v>190</v>
      </c>
      <c r="D23" s="2" t="s">
        <v>144</v>
      </c>
      <c r="E23" s="2" t="s">
        <v>191</v>
      </c>
    </row>
    <row r="24" spans="1:5">
      <c r="A24" s="2" t="s">
        <v>58</v>
      </c>
      <c r="B24" s="2" t="s">
        <v>192</v>
      </c>
      <c r="C24" s="2" t="s">
        <v>193</v>
      </c>
      <c r="D24" s="2" t="s">
        <v>144</v>
      </c>
      <c r="E24" s="2" t="s">
        <v>194</v>
      </c>
    </row>
    <row r="25" spans="1:5">
      <c r="A25" s="2" t="s">
        <v>82</v>
      </c>
      <c r="B25" s="2" t="s">
        <v>181</v>
      </c>
      <c r="C25" s="2" t="s">
        <v>173</v>
      </c>
      <c r="D25" s="2" t="s">
        <v>131</v>
      </c>
      <c r="E25" s="2" t="s">
        <v>195</v>
      </c>
    </row>
    <row r="26" spans="1:5">
      <c r="A26" s="2" t="s">
        <v>82</v>
      </c>
      <c r="B26" s="2" t="s">
        <v>179</v>
      </c>
      <c r="C26" s="2" t="s">
        <v>153</v>
      </c>
      <c r="D26" s="2" t="s">
        <v>131</v>
      </c>
      <c r="E26" s="2" t="s">
        <v>196</v>
      </c>
    </row>
    <row r="27" spans="1:5">
      <c r="A27" s="2" t="s">
        <v>82</v>
      </c>
      <c r="B27" s="2" t="s">
        <v>197</v>
      </c>
      <c r="C27" s="2" t="s">
        <v>176</v>
      </c>
      <c r="D27" s="2" t="s">
        <v>131</v>
      </c>
      <c r="E27" s="2" t="s">
        <v>198</v>
      </c>
    </row>
    <row r="28" spans="1:5">
      <c r="A28" s="2" t="s">
        <v>82</v>
      </c>
      <c r="B28" s="2" t="s">
        <v>199</v>
      </c>
      <c r="C28" s="2" t="s">
        <v>190</v>
      </c>
      <c r="D28" s="2" t="s">
        <v>144</v>
      </c>
      <c r="E28" s="2" t="s">
        <v>200</v>
      </c>
    </row>
    <row r="29" spans="1:5">
      <c r="A29" s="2" t="s">
        <v>82</v>
      </c>
      <c r="B29" s="2" t="s">
        <v>201</v>
      </c>
      <c r="C29" s="2" t="s">
        <v>202</v>
      </c>
      <c r="D29" s="2" t="s">
        <v>131</v>
      </c>
      <c r="E29" s="2" t="s">
        <v>203</v>
      </c>
    </row>
    <row r="30" spans="1:5">
      <c r="A30" s="2" t="s">
        <v>82</v>
      </c>
      <c r="B30" s="2" t="s">
        <v>204</v>
      </c>
      <c r="C30" s="2" t="s">
        <v>205</v>
      </c>
      <c r="D30" s="2" t="s">
        <v>131</v>
      </c>
      <c r="E30" s="2" t="s">
        <v>206</v>
      </c>
    </row>
    <row r="31" spans="1:5">
      <c r="A31" s="2" t="s">
        <v>82</v>
      </c>
      <c r="B31" s="2" t="s">
        <v>207</v>
      </c>
      <c r="C31" s="2" t="s">
        <v>208</v>
      </c>
      <c r="D31" s="2" t="s">
        <v>131</v>
      </c>
      <c r="E31" s="2" t="s">
        <v>209</v>
      </c>
    </row>
    <row r="32" spans="1:5">
      <c r="A32" s="2" t="s">
        <v>82</v>
      </c>
      <c r="B32" s="2" t="s">
        <v>210</v>
      </c>
      <c r="C32" s="2" t="s">
        <v>211</v>
      </c>
      <c r="D32" s="2" t="s">
        <v>144</v>
      </c>
      <c r="E32" s="2" t="s">
        <v>212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B22" sqref="B22"/>
    </sheetView>
  </sheetViews>
  <sheetFormatPr baseColWidth="10" defaultColWidth="51.5" defaultRowHeight="14.25"/>
  <cols>
    <col min="1" max="1" width="34.75" bestFit="1" customWidth="1"/>
    <col min="2" max="2" width="32.625" bestFit="1" customWidth="1"/>
    <col min="3" max="3" width="12.125" bestFit="1" customWidth="1"/>
    <col min="4" max="4" width="59.75" bestFit="1" customWidth="1"/>
    <col min="5" max="5" width="37.5" customWidth="1"/>
    <col min="6" max="6" width="48.375" bestFit="1" customWidth="1"/>
    <col min="7" max="7" width="27.25" bestFit="1" customWidth="1"/>
    <col min="8" max="8" width="13.5" bestFit="1" customWidth="1"/>
  </cols>
  <sheetData>
    <row r="1" spans="1:8" ht="16.5">
      <c r="A1" s="15" t="s">
        <v>213</v>
      </c>
      <c r="B1" s="13"/>
      <c r="C1" s="13"/>
      <c r="D1" s="13"/>
      <c r="E1" s="13"/>
      <c r="F1" s="13"/>
      <c r="G1" s="13"/>
      <c r="H1" s="13"/>
    </row>
    <row r="2" spans="1:8" ht="15">
      <c r="A2" s="16" t="s">
        <v>214</v>
      </c>
      <c r="B2" s="13"/>
      <c r="C2" s="13"/>
      <c r="D2" s="13"/>
      <c r="E2" s="13"/>
      <c r="F2" s="13"/>
      <c r="G2" s="13"/>
      <c r="H2" s="13"/>
    </row>
    <row r="4" spans="1:8" ht="15">
      <c r="A4" s="5" t="s">
        <v>215</v>
      </c>
      <c r="B4" s="5" t="s">
        <v>216</v>
      </c>
      <c r="C4" s="5" t="s">
        <v>110</v>
      </c>
      <c r="D4" s="5" t="s">
        <v>217</v>
      </c>
      <c r="E4" s="5"/>
    </row>
    <row r="5" spans="1:8">
      <c r="A5" s="2" t="s">
        <v>129</v>
      </c>
      <c r="B5" s="2" t="s">
        <v>130</v>
      </c>
      <c r="C5" s="2" t="s">
        <v>131</v>
      </c>
      <c r="D5" s="2" t="s">
        <v>132</v>
      </c>
      <c r="E5" s="2"/>
    </row>
    <row r="6" spans="1:8">
      <c r="A6" s="2" t="s">
        <v>133</v>
      </c>
      <c r="B6" s="2" t="s">
        <v>134</v>
      </c>
      <c r="C6" s="2" t="s">
        <v>131</v>
      </c>
      <c r="D6" s="2" t="s">
        <v>135</v>
      </c>
      <c r="E6" s="2"/>
    </row>
    <row r="7" spans="1:8">
      <c r="A7" s="2" t="s">
        <v>136</v>
      </c>
      <c r="B7" s="2" t="s">
        <v>137</v>
      </c>
      <c r="C7" s="2" t="s">
        <v>131</v>
      </c>
      <c r="D7" s="2" t="s">
        <v>138</v>
      </c>
      <c r="E7" s="2"/>
    </row>
    <row r="8" spans="1:8">
      <c r="A8" s="2" t="s">
        <v>139</v>
      </c>
      <c r="B8" s="2" t="s">
        <v>140</v>
      </c>
      <c r="C8" s="2" t="s">
        <v>131</v>
      </c>
      <c r="D8" s="2" t="s">
        <v>141</v>
      </c>
      <c r="E8" s="2"/>
    </row>
    <row r="9" spans="1:8" ht="28.5">
      <c r="A9" s="2" t="s">
        <v>142</v>
      </c>
      <c r="B9" s="2" t="s">
        <v>143</v>
      </c>
      <c r="C9" s="2" t="s">
        <v>144</v>
      </c>
      <c r="D9" s="2" t="s">
        <v>145</v>
      </c>
      <c r="E9" s="2"/>
    </row>
    <row r="12" spans="1:8" ht="15">
      <c r="A12" s="3" t="s">
        <v>15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218</v>
      </c>
      <c r="H12" s="3" t="s">
        <v>219</v>
      </c>
    </row>
    <row r="13" spans="1:8">
      <c r="A13" s="4" t="s">
        <v>23</v>
      </c>
      <c r="B13" s="2" t="s">
        <v>25</v>
      </c>
      <c r="C13" s="9">
        <v>80</v>
      </c>
      <c r="D13" s="9">
        <v>1.33</v>
      </c>
      <c r="E13" s="2" t="s">
        <v>26</v>
      </c>
      <c r="F13" s="2" t="s">
        <v>27</v>
      </c>
      <c r="G13" s="2" t="s">
        <v>28</v>
      </c>
      <c r="H13" s="2" t="s">
        <v>220</v>
      </c>
    </row>
    <row r="14" spans="1:8">
      <c r="A14" s="4" t="s">
        <v>23</v>
      </c>
      <c r="B14" s="2" t="s">
        <v>29</v>
      </c>
      <c r="C14" s="9">
        <v>80</v>
      </c>
      <c r="D14" s="9">
        <v>1.33</v>
      </c>
      <c r="E14" s="2" t="s">
        <v>30</v>
      </c>
      <c r="F14" s="2" t="s">
        <v>31</v>
      </c>
      <c r="G14" s="2" t="s">
        <v>28</v>
      </c>
      <c r="H14" s="2" t="s">
        <v>220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activeCell="H18" sqref="H18"/>
    </sheetView>
  </sheetViews>
  <sheetFormatPr baseColWidth="10" defaultColWidth="131.25" defaultRowHeight="14.25"/>
  <cols>
    <col min="1" max="1" width="32.25" bestFit="1" customWidth="1"/>
    <col min="2" max="2" width="12.5" bestFit="1" customWidth="1"/>
    <col min="3" max="3" width="12.125" bestFit="1" customWidth="1"/>
    <col min="4" max="4" width="73.75" bestFit="1" customWidth="1"/>
    <col min="5" max="5" width="44.625" bestFit="1" customWidth="1"/>
    <col min="6" max="6" width="61.75" bestFit="1" customWidth="1"/>
    <col min="7" max="7" width="27.375" bestFit="1" customWidth="1"/>
    <col min="8" max="8" width="13.5" bestFit="1" customWidth="1"/>
  </cols>
  <sheetData>
    <row r="1" spans="1:8" ht="16.5">
      <c r="A1" s="15" t="s">
        <v>221</v>
      </c>
      <c r="B1" s="13"/>
      <c r="C1" s="13"/>
      <c r="D1" s="13"/>
      <c r="E1" s="13"/>
      <c r="F1" s="13"/>
      <c r="G1" s="13"/>
      <c r="H1" s="13"/>
    </row>
    <row r="2" spans="1:8" ht="15">
      <c r="A2" s="16" t="s">
        <v>222</v>
      </c>
      <c r="B2" s="13"/>
      <c r="C2" s="13"/>
      <c r="D2" s="13"/>
      <c r="E2" s="13"/>
      <c r="F2" s="13"/>
      <c r="G2" s="13"/>
      <c r="H2" s="13"/>
    </row>
    <row r="4" spans="1:8" ht="15">
      <c r="A4" s="5" t="s">
        <v>215</v>
      </c>
      <c r="B4" s="5" t="s">
        <v>216</v>
      </c>
      <c r="C4" s="5" t="s">
        <v>110</v>
      </c>
      <c r="D4" s="5" t="s">
        <v>217</v>
      </c>
      <c r="E4" s="5"/>
    </row>
    <row r="5" spans="1:8">
      <c r="A5" s="2" t="s">
        <v>146</v>
      </c>
      <c r="B5" s="2" t="s">
        <v>147</v>
      </c>
      <c r="C5" s="2" t="s">
        <v>131</v>
      </c>
      <c r="D5" s="2" t="s">
        <v>148</v>
      </c>
      <c r="E5" s="2"/>
    </row>
    <row r="6" spans="1:8">
      <c r="A6" s="2" t="s">
        <v>149</v>
      </c>
      <c r="B6" s="2" t="s">
        <v>150</v>
      </c>
      <c r="C6" s="2" t="s">
        <v>131</v>
      </c>
      <c r="D6" s="2" t="s">
        <v>151</v>
      </c>
      <c r="E6" s="2"/>
    </row>
    <row r="7" spans="1:8">
      <c r="A7" s="2" t="s">
        <v>152</v>
      </c>
      <c r="B7" s="2" t="s">
        <v>153</v>
      </c>
      <c r="C7" s="2" t="s">
        <v>144</v>
      </c>
      <c r="D7" s="2" t="s">
        <v>154</v>
      </c>
      <c r="E7" s="2"/>
    </row>
    <row r="8" spans="1:8">
      <c r="A8" s="2" t="s">
        <v>155</v>
      </c>
      <c r="B8" s="2" t="s">
        <v>156</v>
      </c>
      <c r="C8" s="2" t="s">
        <v>144</v>
      </c>
      <c r="D8" s="2" t="s">
        <v>157</v>
      </c>
      <c r="E8" s="2"/>
    </row>
    <row r="9" spans="1:8">
      <c r="A9" s="2" t="s">
        <v>158</v>
      </c>
      <c r="B9" s="2" t="s">
        <v>159</v>
      </c>
      <c r="C9" s="2" t="s">
        <v>131</v>
      </c>
      <c r="D9" s="2" t="s">
        <v>160</v>
      </c>
      <c r="E9" s="2"/>
    </row>
    <row r="10" spans="1:8">
      <c r="A10" s="2" t="s">
        <v>161</v>
      </c>
      <c r="B10" s="2" t="s">
        <v>162</v>
      </c>
      <c r="C10" s="2" t="s">
        <v>119</v>
      </c>
      <c r="D10" s="2" t="s">
        <v>163</v>
      </c>
      <c r="E10" s="2"/>
    </row>
    <row r="13" spans="1:8" ht="15">
      <c r="A13" s="3" t="s">
        <v>15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218</v>
      </c>
      <c r="H13" s="3" t="s">
        <v>219</v>
      </c>
    </row>
    <row r="14" spans="1:8">
      <c r="A14" s="4" t="s">
        <v>32</v>
      </c>
      <c r="B14" s="2" t="s">
        <v>25</v>
      </c>
      <c r="C14" s="9">
        <v>75</v>
      </c>
      <c r="D14" s="9">
        <v>1.25</v>
      </c>
      <c r="E14" s="2" t="s">
        <v>34</v>
      </c>
      <c r="F14" s="2" t="s">
        <v>35</v>
      </c>
      <c r="G14" s="2" t="s">
        <v>36</v>
      </c>
      <c r="H14" s="2" t="s">
        <v>220</v>
      </c>
    </row>
    <row r="15" spans="1:8">
      <c r="A15" s="4" t="s">
        <v>32</v>
      </c>
      <c r="B15" s="2" t="s">
        <v>29</v>
      </c>
      <c r="C15" s="9">
        <v>75</v>
      </c>
      <c r="D15" s="9">
        <v>1.25</v>
      </c>
      <c r="E15" s="2" t="s">
        <v>37</v>
      </c>
      <c r="F15" s="2" t="s">
        <v>38</v>
      </c>
      <c r="G15" s="2" t="s">
        <v>36</v>
      </c>
      <c r="H15" s="2" t="s">
        <v>220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D28" sqref="D28"/>
    </sheetView>
  </sheetViews>
  <sheetFormatPr baseColWidth="10" defaultColWidth="98.875" defaultRowHeight="14.25"/>
  <cols>
    <col min="1" max="1" width="30.375" bestFit="1" customWidth="1"/>
    <col min="2" max="2" width="12.5" bestFit="1" customWidth="1"/>
    <col min="3" max="3" width="12.125" bestFit="1" customWidth="1"/>
    <col min="4" max="4" width="54.5" bestFit="1" customWidth="1"/>
    <col min="5" max="5" width="44.625" bestFit="1" customWidth="1"/>
    <col min="6" max="6" width="54.625" bestFit="1" customWidth="1"/>
    <col min="7" max="7" width="33.875" bestFit="1" customWidth="1"/>
    <col min="8" max="8" width="13.5" bestFit="1" customWidth="1"/>
  </cols>
  <sheetData>
    <row r="1" spans="1:8" ht="16.5">
      <c r="A1" s="15" t="s">
        <v>223</v>
      </c>
      <c r="B1" s="13"/>
      <c r="C1" s="13"/>
      <c r="D1" s="13"/>
      <c r="E1" s="13"/>
      <c r="F1" s="13"/>
      <c r="G1" s="13"/>
      <c r="H1" s="13"/>
    </row>
    <row r="2" spans="1:8" ht="15">
      <c r="A2" s="16" t="s">
        <v>224</v>
      </c>
      <c r="B2" s="13"/>
      <c r="C2" s="13"/>
      <c r="D2" s="13"/>
      <c r="E2" s="13"/>
      <c r="F2" s="13"/>
      <c r="G2" s="13"/>
      <c r="H2" s="13"/>
    </row>
    <row r="4" spans="1:8" ht="15">
      <c r="A4" s="5" t="s">
        <v>215</v>
      </c>
      <c r="B4" s="5" t="s">
        <v>216</v>
      </c>
      <c r="C4" s="5" t="s">
        <v>110</v>
      </c>
      <c r="D4" s="5" t="s">
        <v>217</v>
      </c>
      <c r="E4" s="5"/>
    </row>
    <row r="5" spans="1:8">
      <c r="A5" s="2" t="s">
        <v>164</v>
      </c>
      <c r="B5" s="2" t="s">
        <v>153</v>
      </c>
      <c r="C5" s="2" t="s">
        <v>131</v>
      </c>
      <c r="D5" s="2" t="s">
        <v>165</v>
      </c>
      <c r="E5" s="2"/>
    </row>
    <row r="6" spans="1:8">
      <c r="A6" s="2" t="s">
        <v>166</v>
      </c>
      <c r="B6" s="2" t="s">
        <v>167</v>
      </c>
      <c r="C6" s="2" t="s">
        <v>131</v>
      </c>
      <c r="D6" s="2" t="s">
        <v>168</v>
      </c>
      <c r="E6" s="2"/>
    </row>
    <row r="7" spans="1:8">
      <c r="A7" s="2" t="s">
        <v>169</v>
      </c>
      <c r="B7" s="2" t="s">
        <v>170</v>
      </c>
      <c r="C7" s="2" t="s">
        <v>131</v>
      </c>
      <c r="D7" s="2" t="s">
        <v>171</v>
      </c>
      <c r="E7" s="2"/>
    </row>
    <row r="8" spans="1:8">
      <c r="A8" s="2" t="s">
        <v>172</v>
      </c>
      <c r="B8" s="2" t="s">
        <v>173</v>
      </c>
      <c r="C8" s="2" t="s">
        <v>131</v>
      </c>
      <c r="D8" s="2" t="s">
        <v>174</v>
      </c>
      <c r="E8" s="2"/>
    </row>
    <row r="9" spans="1:8">
      <c r="A9" s="2" t="s">
        <v>175</v>
      </c>
      <c r="B9" s="2" t="s">
        <v>176</v>
      </c>
      <c r="C9" s="2" t="s">
        <v>131</v>
      </c>
      <c r="D9" s="2" t="s">
        <v>177</v>
      </c>
      <c r="E9" s="2"/>
    </row>
    <row r="10" spans="1:8">
      <c r="A10" s="2" t="s">
        <v>161</v>
      </c>
      <c r="B10" s="2" t="s">
        <v>159</v>
      </c>
      <c r="C10" s="2" t="s">
        <v>144</v>
      </c>
      <c r="D10" s="2" t="s">
        <v>178</v>
      </c>
      <c r="E10" s="2"/>
    </row>
    <row r="13" spans="1:8" ht="15">
      <c r="A13" s="3" t="s">
        <v>15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218</v>
      </c>
      <c r="H13" s="3" t="s">
        <v>219</v>
      </c>
    </row>
    <row r="14" spans="1:8">
      <c r="A14" s="4" t="s">
        <v>39</v>
      </c>
      <c r="B14" s="2" t="s">
        <v>25</v>
      </c>
      <c r="C14" s="9">
        <v>85</v>
      </c>
      <c r="D14" s="9">
        <v>1.42</v>
      </c>
      <c r="E14" s="2" t="s">
        <v>41</v>
      </c>
      <c r="F14" s="2" t="s">
        <v>42</v>
      </c>
      <c r="G14" s="2" t="s">
        <v>43</v>
      </c>
      <c r="H14" s="2" t="s">
        <v>220</v>
      </c>
    </row>
    <row r="15" spans="1:8">
      <c r="A15" s="4" t="s">
        <v>39</v>
      </c>
      <c r="B15" s="2" t="s">
        <v>29</v>
      </c>
      <c r="C15" s="9">
        <v>85</v>
      </c>
      <c r="D15" s="9">
        <v>1.42</v>
      </c>
      <c r="E15" s="2" t="s">
        <v>44</v>
      </c>
      <c r="F15" s="2" t="s">
        <v>45</v>
      </c>
      <c r="G15" s="2" t="s">
        <v>43</v>
      </c>
      <c r="H15" s="2" t="s">
        <v>220</v>
      </c>
    </row>
    <row r="16" spans="1:8">
      <c r="A16" s="4" t="s">
        <v>46</v>
      </c>
      <c r="B16" s="2" t="s">
        <v>25</v>
      </c>
      <c r="C16" s="9">
        <v>120</v>
      </c>
      <c r="D16" s="9">
        <v>2</v>
      </c>
      <c r="E16" s="2" t="s">
        <v>47</v>
      </c>
      <c r="F16" s="2" t="s">
        <v>48</v>
      </c>
      <c r="G16" s="2" t="s">
        <v>49</v>
      </c>
      <c r="H16" s="2" t="s">
        <v>220</v>
      </c>
    </row>
    <row r="17" spans="1:8">
      <c r="A17" s="4" t="s">
        <v>46</v>
      </c>
      <c r="B17" s="2" t="s">
        <v>29</v>
      </c>
      <c r="C17" s="9">
        <v>120</v>
      </c>
      <c r="D17" s="9">
        <v>2</v>
      </c>
      <c r="E17" s="2" t="s">
        <v>47</v>
      </c>
      <c r="F17" s="2" t="s">
        <v>50</v>
      </c>
      <c r="G17" s="2" t="s">
        <v>49</v>
      </c>
      <c r="H17" s="2" t="s">
        <v>220</v>
      </c>
    </row>
    <row r="18" spans="1:8">
      <c r="A18" s="4" t="s">
        <v>51</v>
      </c>
      <c r="B18" s="2" t="s">
        <v>25</v>
      </c>
      <c r="C18" s="9">
        <v>80</v>
      </c>
      <c r="D18" s="9">
        <v>1.33</v>
      </c>
      <c r="E18" s="2" t="s">
        <v>52</v>
      </c>
      <c r="F18" s="2" t="s">
        <v>53</v>
      </c>
      <c r="G18" s="2" t="s">
        <v>54</v>
      </c>
      <c r="H18" s="2" t="s">
        <v>220</v>
      </c>
    </row>
    <row r="19" spans="1:8">
      <c r="A19" s="4" t="s">
        <v>51</v>
      </c>
      <c r="B19" s="2" t="s">
        <v>29</v>
      </c>
      <c r="C19" s="9">
        <v>80</v>
      </c>
      <c r="D19" s="9">
        <v>1.33</v>
      </c>
      <c r="E19" s="2" t="s">
        <v>55</v>
      </c>
      <c r="F19" s="2" t="s">
        <v>56</v>
      </c>
      <c r="G19" s="2" t="s">
        <v>54</v>
      </c>
      <c r="H19" s="2" t="s">
        <v>220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topLeftCell="B1" workbookViewId="0">
      <selection activeCell="D21" sqref="D21"/>
    </sheetView>
  </sheetViews>
  <sheetFormatPr baseColWidth="10" defaultColWidth="101.875" defaultRowHeight="14.25"/>
  <cols>
    <col min="1" max="1" width="31" bestFit="1" customWidth="1"/>
    <col min="2" max="2" width="12.5" bestFit="1" customWidth="1"/>
    <col min="3" max="3" width="12.125" bestFit="1" customWidth="1"/>
    <col min="4" max="4" width="75.625" bestFit="1" customWidth="1"/>
    <col min="5" max="5" width="60.125" bestFit="1" customWidth="1"/>
    <col min="6" max="6" width="57.25" bestFit="1" customWidth="1"/>
    <col min="7" max="7" width="39.125" bestFit="1" customWidth="1"/>
    <col min="8" max="8" width="13.5" bestFit="1" customWidth="1"/>
  </cols>
  <sheetData>
    <row r="1" spans="1:8" ht="16.5">
      <c r="A1" s="15" t="s">
        <v>225</v>
      </c>
      <c r="B1" s="13"/>
      <c r="C1" s="13"/>
      <c r="D1" s="13"/>
      <c r="E1" s="13"/>
      <c r="F1" s="13"/>
      <c r="G1" s="13"/>
      <c r="H1" s="13"/>
    </row>
    <row r="2" spans="1:8" ht="15">
      <c r="A2" s="16" t="s">
        <v>226</v>
      </c>
      <c r="B2" s="13"/>
      <c r="C2" s="13"/>
      <c r="D2" s="13"/>
      <c r="E2" s="13"/>
      <c r="F2" s="13"/>
      <c r="G2" s="13"/>
      <c r="H2" s="13"/>
    </row>
    <row r="4" spans="1:8" ht="15">
      <c r="A4" s="5" t="s">
        <v>215</v>
      </c>
      <c r="B4" s="5" t="s">
        <v>216</v>
      </c>
      <c r="C4" s="5" t="s">
        <v>110</v>
      </c>
      <c r="D4" s="5" t="s">
        <v>217</v>
      </c>
      <c r="E4" s="5"/>
    </row>
    <row r="5" spans="1:8">
      <c r="A5" s="2" t="s">
        <v>179</v>
      </c>
      <c r="B5" s="2" t="s">
        <v>153</v>
      </c>
      <c r="C5" s="2" t="s">
        <v>144</v>
      </c>
      <c r="D5" s="2" t="s">
        <v>180</v>
      </c>
      <c r="E5" s="2"/>
    </row>
    <row r="6" spans="1:8">
      <c r="A6" s="2" t="s">
        <v>181</v>
      </c>
      <c r="B6" s="2" t="s">
        <v>173</v>
      </c>
      <c r="C6" s="2" t="s">
        <v>131</v>
      </c>
      <c r="D6" s="2" t="s">
        <v>182</v>
      </c>
      <c r="E6" s="2"/>
    </row>
    <row r="7" spans="1:8">
      <c r="A7" s="2" t="s">
        <v>183</v>
      </c>
      <c r="B7" s="2" t="s">
        <v>184</v>
      </c>
      <c r="C7" s="2" t="s">
        <v>131</v>
      </c>
      <c r="D7" s="2" t="s">
        <v>185</v>
      </c>
      <c r="E7" s="2"/>
    </row>
    <row r="8" spans="1:8">
      <c r="A8" s="2" t="s">
        <v>186</v>
      </c>
      <c r="B8" s="2" t="s">
        <v>187</v>
      </c>
      <c r="C8" s="2" t="s">
        <v>131</v>
      </c>
      <c r="D8" s="2" t="s">
        <v>188</v>
      </c>
      <c r="E8" s="2"/>
    </row>
    <row r="9" spans="1:8">
      <c r="A9" s="2" t="s">
        <v>189</v>
      </c>
      <c r="B9" s="2" t="s">
        <v>190</v>
      </c>
      <c r="C9" s="2" t="s">
        <v>144</v>
      </c>
      <c r="D9" s="2" t="s">
        <v>191</v>
      </c>
      <c r="E9" s="2"/>
    </row>
    <row r="10" spans="1:8">
      <c r="A10" s="2" t="s">
        <v>192</v>
      </c>
      <c r="B10" s="2" t="s">
        <v>193</v>
      </c>
      <c r="C10" s="2" t="s">
        <v>144</v>
      </c>
      <c r="D10" s="2" t="s">
        <v>194</v>
      </c>
      <c r="E10" s="2"/>
    </row>
    <row r="13" spans="1:8" ht="15">
      <c r="A13" s="3" t="s">
        <v>15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218</v>
      </c>
      <c r="H13" s="3" t="s">
        <v>219</v>
      </c>
    </row>
    <row r="14" spans="1:8">
      <c r="A14" s="4" t="s">
        <v>57</v>
      </c>
      <c r="B14" s="2" t="s">
        <v>25</v>
      </c>
      <c r="C14" s="9">
        <v>110</v>
      </c>
      <c r="D14" s="9">
        <v>1.83</v>
      </c>
      <c r="E14" s="2" t="s">
        <v>59</v>
      </c>
      <c r="F14" s="2" t="s">
        <v>60</v>
      </c>
      <c r="G14" s="2" t="s">
        <v>61</v>
      </c>
      <c r="H14" s="2" t="s">
        <v>220</v>
      </c>
    </row>
    <row r="15" spans="1:8">
      <c r="A15" s="4" t="s">
        <v>57</v>
      </c>
      <c r="B15" s="2" t="s">
        <v>29</v>
      </c>
      <c r="C15" s="9">
        <v>110</v>
      </c>
      <c r="D15" s="9">
        <v>1.83</v>
      </c>
      <c r="E15" s="2" t="s">
        <v>62</v>
      </c>
      <c r="F15" s="2" t="s">
        <v>63</v>
      </c>
      <c r="G15" s="2" t="s">
        <v>61</v>
      </c>
      <c r="H15" s="2" t="s">
        <v>220</v>
      </c>
    </row>
    <row r="16" spans="1:8">
      <c r="A16" s="4" t="s">
        <v>64</v>
      </c>
      <c r="B16" s="2" t="s">
        <v>25</v>
      </c>
      <c r="C16" s="9">
        <v>95</v>
      </c>
      <c r="D16" s="9">
        <v>1.58</v>
      </c>
      <c r="E16" s="2" t="s">
        <v>65</v>
      </c>
      <c r="F16" s="2" t="s">
        <v>66</v>
      </c>
      <c r="G16" s="2" t="s">
        <v>67</v>
      </c>
      <c r="H16" s="2" t="s">
        <v>220</v>
      </c>
    </row>
    <row r="17" spans="1:8">
      <c r="A17" s="4" t="s">
        <v>64</v>
      </c>
      <c r="B17" s="2" t="s">
        <v>29</v>
      </c>
      <c r="C17" s="9">
        <v>95</v>
      </c>
      <c r="D17" s="9">
        <v>1.58</v>
      </c>
      <c r="E17" s="2" t="s">
        <v>68</v>
      </c>
      <c r="F17" s="2" t="s">
        <v>69</v>
      </c>
      <c r="G17" s="2" t="s">
        <v>67</v>
      </c>
      <c r="H17" s="2" t="s">
        <v>220</v>
      </c>
    </row>
    <row r="18" spans="1:8">
      <c r="A18" s="4" t="s">
        <v>70</v>
      </c>
      <c r="B18" s="2" t="s">
        <v>25</v>
      </c>
      <c r="C18" s="9">
        <v>120</v>
      </c>
      <c r="D18" s="9">
        <v>2</v>
      </c>
      <c r="E18" s="2" t="s">
        <v>71</v>
      </c>
      <c r="F18" s="2" t="s">
        <v>72</v>
      </c>
      <c r="G18" s="2" t="s">
        <v>73</v>
      </c>
      <c r="H18" s="2" t="s">
        <v>220</v>
      </c>
    </row>
    <row r="19" spans="1:8">
      <c r="A19" s="4" t="s">
        <v>70</v>
      </c>
      <c r="B19" s="2" t="s">
        <v>29</v>
      </c>
      <c r="C19" s="9">
        <v>120</v>
      </c>
      <c r="D19" s="9">
        <v>2</v>
      </c>
      <c r="E19" s="2" t="s">
        <v>74</v>
      </c>
      <c r="F19" s="2" t="s">
        <v>75</v>
      </c>
      <c r="G19" s="2" t="s">
        <v>73</v>
      </c>
      <c r="H19" s="2" t="s">
        <v>220</v>
      </c>
    </row>
    <row r="20" spans="1:8">
      <c r="A20" s="4" t="s">
        <v>76</v>
      </c>
      <c r="B20" s="2" t="s">
        <v>25</v>
      </c>
      <c r="C20" s="9">
        <v>90</v>
      </c>
      <c r="D20" s="9">
        <v>1.5</v>
      </c>
      <c r="E20" s="2" t="s">
        <v>77</v>
      </c>
      <c r="F20" s="2" t="s">
        <v>78</v>
      </c>
      <c r="G20" s="2" t="s">
        <v>79</v>
      </c>
      <c r="H20" s="2" t="s">
        <v>220</v>
      </c>
    </row>
    <row r="21" spans="1:8">
      <c r="A21" s="4" t="s">
        <v>76</v>
      </c>
      <c r="B21" s="2" t="s">
        <v>29</v>
      </c>
      <c r="C21" s="9">
        <v>90</v>
      </c>
      <c r="D21" s="9">
        <v>1.5</v>
      </c>
      <c r="E21" s="2" t="s">
        <v>80</v>
      </c>
      <c r="F21" s="2" t="s">
        <v>81</v>
      </c>
      <c r="G21" s="2" t="s">
        <v>79</v>
      </c>
      <c r="H21" s="2" t="s">
        <v>220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selection activeCell="D23" sqref="D23"/>
    </sheetView>
  </sheetViews>
  <sheetFormatPr baseColWidth="10" defaultColWidth="94" defaultRowHeight="14.25"/>
  <cols>
    <col min="1" max="1" width="28" bestFit="1" customWidth="1"/>
    <col min="2" max="2" width="25.125" bestFit="1" customWidth="1"/>
    <col min="3" max="3" width="12.125" bestFit="1" customWidth="1"/>
    <col min="4" max="4" width="68.25" bestFit="1" customWidth="1"/>
    <col min="5" max="5" width="48.875" bestFit="1" customWidth="1"/>
    <col min="6" max="6" width="59" bestFit="1" customWidth="1"/>
    <col min="7" max="7" width="27.875" bestFit="1" customWidth="1"/>
    <col min="8" max="8" width="13.5" bestFit="1" customWidth="1"/>
  </cols>
  <sheetData>
    <row r="1" spans="1:8" ht="16.5">
      <c r="A1" s="15" t="s">
        <v>227</v>
      </c>
      <c r="B1" s="13"/>
      <c r="C1" s="13"/>
      <c r="D1" s="13"/>
      <c r="E1" s="13"/>
      <c r="F1" s="13"/>
      <c r="G1" s="13"/>
      <c r="H1" s="13"/>
    </row>
    <row r="2" spans="1:8" ht="15">
      <c r="A2" s="16" t="s">
        <v>228</v>
      </c>
      <c r="B2" s="13"/>
      <c r="C2" s="13"/>
      <c r="D2" s="13"/>
      <c r="E2" s="13"/>
      <c r="F2" s="13"/>
      <c r="G2" s="13"/>
      <c r="H2" s="13"/>
    </row>
    <row r="4" spans="1:8" ht="15">
      <c r="A4" s="5" t="s">
        <v>215</v>
      </c>
      <c r="B4" s="5" t="s">
        <v>216</v>
      </c>
      <c r="C4" s="5" t="s">
        <v>110</v>
      </c>
      <c r="D4" s="5" t="s">
        <v>217</v>
      </c>
      <c r="E4" s="5"/>
    </row>
    <row r="5" spans="1:8">
      <c r="A5" s="2" t="s">
        <v>181</v>
      </c>
      <c r="B5" s="2" t="s">
        <v>173</v>
      </c>
      <c r="C5" s="2" t="s">
        <v>131</v>
      </c>
      <c r="D5" s="2" t="s">
        <v>195</v>
      </c>
      <c r="E5" s="2"/>
    </row>
    <row r="6" spans="1:8">
      <c r="A6" s="2" t="s">
        <v>179</v>
      </c>
      <c r="B6" s="2" t="s">
        <v>153</v>
      </c>
      <c r="C6" s="2" t="s">
        <v>131</v>
      </c>
      <c r="D6" s="2" t="s">
        <v>196</v>
      </c>
      <c r="E6" s="2"/>
    </row>
    <row r="7" spans="1:8">
      <c r="A7" s="2" t="s">
        <v>197</v>
      </c>
      <c r="B7" s="2" t="s">
        <v>176</v>
      </c>
      <c r="C7" s="2" t="s">
        <v>131</v>
      </c>
      <c r="D7" s="2" t="s">
        <v>198</v>
      </c>
      <c r="E7" s="2"/>
    </row>
    <row r="8" spans="1:8">
      <c r="A8" s="2" t="s">
        <v>199</v>
      </c>
      <c r="B8" s="2" t="s">
        <v>190</v>
      </c>
      <c r="C8" s="2" t="s">
        <v>144</v>
      </c>
      <c r="D8" s="2" t="s">
        <v>200</v>
      </c>
      <c r="E8" s="2"/>
    </row>
    <row r="9" spans="1:8">
      <c r="A9" s="2" t="s">
        <v>201</v>
      </c>
      <c r="B9" s="2" t="s">
        <v>202</v>
      </c>
      <c r="C9" s="2" t="s">
        <v>131</v>
      </c>
      <c r="D9" s="2" t="s">
        <v>203</v>
      </c>
      <c r="E9" s="2"/>
    </row>
    <row r="10" spans="1:8">
      <c r="A10" s="2" t="s">
        <v>204</v>
      </c>
      <c r="B10" s="2" t="s">
        <v>205</v>
      </c>
      <c r="C10" s="2" t="s">
        <v>119</v>
      </c>
      <c r="D10" s="2" t="s">
        <v>206</v>
      </c>
      <c r="E10" s="2"/>
    </row>
    <row r="11" spans="1:8">
      <c r="A11" s="2" t="s">
        <v>207</v>
      </c>
      <c r="B11" s="2" t="s">
        <v>208</v>
      </c>
      <c r="C11" s="2" t="s">
        <v>119</v>
      </c>
      <c r="D11" s="2" t="s">
        <v>209</v>
      </c>
      <c r="E11" s="2"/>
    </row>
    <row r="12" spans="1:8">
      <c r="A12" s="2" t="s">
        <v>210</v>
      </c>
      <c r="B12" s="2" t="s">
        <v>211</v>
      </c>
      <c r="C12" s="2" t="s">
        <v>144</v>
      </c>
      <c r="D12" s="2" t="s">
        <v>212</v>
      </c>
      <c r="E12" s="2"/>
    </row>
    <row r="15" spans="1:8" ht="15">
      <c r="A15" s="3" t="s">
        <v>15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218</v>
      </c>
      <c r="H15" s="3" t="s">
        <v>219</v>
      </c>
    </row>
    <row r="16" spans="1:8">
      <c r="A16" s="4" t="s">
        <v>76</v>
      </c>
      <c r="B16" s="2" t="s">
        <v>25</v>
      </c>
      <c r="C16" s="9">
        <v>95</v>
      </c>
      <c r="D16" s="9">
        <v>1.58</v>
      </c>
      <c r="E16" s="2" t="s">
        <v>83</v>
      </c>
      <c r="F16" s="2" t="s">
        <v>84</v>
      </c>
      <c r="G16" s="2" t="s">
        <v>85</v>
      </c>
      <c r="H16" s="2" t="s">
        <v>220</v>
      </c>
    </row>
    <row r="17" spans="1:8">
      <c r="A17" s="4" t="s">
        <v>76</v>
      </c>
      <c r="B17" s="2" t="s">
        <v>29</v>
      </c>
      <c r="C17" s="9">
        <v>95</v>
      </c>
      <c r="D17" s="9">
        <v>1.58</v>
      </c>
      <c r="E17" s="2" t="s">
        <v>86</v>
      </c>
      <c r="F17" s="2" t="s">
        <v>87</v>
      </c>
      <c r="G17" s="2" t="s">
        <v>85</v>
      </c>
      <c r="H17" s="2" t="s">
        <v>220</v>
      </c>
    </row>
    <row r="18" spans="1:8">
      <c r="A18" s="4" t="s">
        <v>88</v>
      </c>
      <c r="B18" s="2" t="s">
        <v>25</v>
      </c>
      <c r="C18" s="9">
        <v>150</v>
      </c>
      <c r="D18" s="9">
        <v>2.5</v>
      </c>
      <c r="E18" s="2" t="s">
        <v>89</v>
      </c>
      <c r="F18" s="2" t="s">
        <v>90</v>
      </c>
      <c r="G18" s="2" t="s">
        <v>91</v>
      </c>
      <c r="H18" s="2" t="s">
        <v>220</v>
      </c>
    </row>
    <row r="19" spans="1:8">
      <c r="A19" s="4" t="s">
        <v>88</v>
      </c>
      <c r="B19" s="2" t="s">
        <v>29</v>
      </c>
      <c r="C19" s="9">
        <v>150</v>
      </c>
      <c r="D19" s="9">
        <v>2.5</v>
      </c>
      <c r="E19" s="2" t="s">
        <v>92</v>
      </c>
      <c r="F19" s="2" t="s">
        <v>93</v>
      </c>
      <c r="G19" s="2" t="s">
        <v>91</v>
      </c>
      <c r="H19" s="2" t="s">
        <v>220</v>
      </c>
    </row>
    <row r="20" spans="1:8">
      <c r="A20" s="4" t="s">
        <v>94</v>
      </c>
      <c r="B20" s="2" t="s">
        <v>25</v>
      </c>
      <c r="C20" s="9">
        <v>180</v>
      </c>
      <c r="D20" s="9">
        <v>3</v>
      </c>
      <c r="E20" s="2" t="s">
        <v>95</v>
      </c>
      <c r="F20" s="2" t="s">
        <v>96</v>
      </c>
      <c r="G20" s="2" t="s">
        <v>97</v>
      </c>
      <c r="H20" s="2" t="s">
        <v>220</v>
      </c>
    </row>
    <row r="21" spans="1:8">
      <c r="A21" s="4" t="s">
        <v>94</v>
      </c>
      <c r="B21" s="2" t="s">
        <v>29</v>
      </c>
      <c r="C21" s="9">
        <v>180</v>
      </c>
      <c r="D21" s="9">
        <v>3</v>
      </c>
      <c r="E21" s="2" t="s">
        <v>98</v>
      </c>
      <c r="F21" s="2" t="s">
        <v>99</v>
      </c>
      <c r="G21" s="2" t="s">
        <v>97</v>
      </c>
      <c r="H21" s="2" t="s">
        <v>220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C23" sqref="C23"/>
    </sheetView>
  </sheetViews>
  <sheetFormatPr baseColWidth="10" defaultColWidth="71.5" defaultRowHeight="14.25"/>
  <cols>
    <col min="1" max="1" width="3" bestFit="1" customWidth="1"/>
    <col min="2" max="2" width="28.625" bestFit="1" customWidth="1"/>
    <col min="3" max="3" width="83.75" customWidth="1"/>
    <col min="4" max="4" width="8" bestFit="1" customWidth="1"/>
    <col min="5" max="5" width="14" bestFit="1" customWidth="1"/>
  </cols>
  <sheetData>
    <row r="1" spans="1:5" ht="15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</row>
    <row r="2" spans="1:5">
      <c r="A2" s="2" t="s">
        <v>234</v>
      </c>
      <c r="B2" s="2" t="s">
        <v>235</v>
      </c>
      <c r="C2" s="2" t="s">
        <v>236</v>
      </c>
      <c r="D2" s="2" t="s">
        <v>237</v>
      </c>
      <c r="E2" s="2" t="s">
        <v>238</v>
      </c>
    </row>
    <row r="3" spans="1:5">
      <c r="A3" s="2" t="s">
        <v>239</v>
      </c>
      <c r="B3" s="2" t="s">
        <v>240</v>
      </c>
      <c r="C3" s="2" t="s">
        <v>241</v>
      </c>
      <c r="D3" s="2" t="s">
        <v>237</v>
      </c>
      <c r="E3" s="2" t="s">
        <v>238</v>
      </c>
    </row>
    <row r="4" spans="1:5">
      <c r="A4" s="2" t="s">
        <v>242</v>
      </c>
      <c r="B4" s="2" t="s">
        <v>243</v>
      </c>
      <c r="C4" s="2" t="s">
        <v>244</v>
      </c>
      <c r="D4" s="2" t="s">
        <v>237</v>
      </c>
      <c r="E4" s="2" t="s">
        <v>238</v>
      </c>
    </row>
    <row r="5" spans="1:5">
      <c r="A5" s="2" t="s">
        <v>245</v>
      </c>
      <c r="B5" s="2" t="s">
        <v>246</v>
      </c>
      <c r="C5" s="2" t="s">
        <v>247</v>
      </c>
      <c r="D5" s="2" t="s">
        <v>237</v>
      </c>
      <c r="E5" s="2" t="s">
        <v>238</v>
      </c>
    </row>
    <row r="6" spans="1:5">
      <c r="A6" s="2" t="s">
        <v>248</v>
      </c>
      <c r="B6" s="2" t="s">
        <v>249</v>
      </c>
      <c r="C6" s="2" t="s">
        <v>250</v>
      </c>
      <c r="D6" s="2" t="s">
        <v>237</v>
      </c>
      <c r="E6" s="2" t="s">
        <v>238</v>
      </c>
    </row>
    <row r="7" spans="1:5">
      <c r="A7" s="2" t="s">
        <v>251</v>
      </c>
      <c r="B7" s="2" t="s">
        <v>252</v>
      </c>
      <c r="C7" s="2" t="s">
        <v>253</v>
      </c>
      <c r="D7" s="2" t="s">
        <v>237</v>
      </c>
      <c r="E7" s="2" t="s">
        <v>238</v>
      </c>
    </row>
    <row r="8" spans="1:5">
      <c r="A8" s="2" t="s">
        <v>254</v>
      </c>
      <c r="B8" s="2" t="s">
        <v>255</v>
      </c>
      <c r="C8" s="2" t="s">
        <v>256</v>
      </c>
      <c r="D8" s="2" t="s">
        <v>237</v>
      </c>
      <c r="E8" s="2" t="s">
        <v>238</v>
      </c>
    </row>
    <row r="9" spans="1:5">
      <c r="A9" s="2" t="s">
        <v>257</v>
      </c>
      <c r="B9" s="2" t="s">
        <v>258</v>
      </c>
      <c r="C9" s="2" t="s">
        <v>259</v>
      </c>
      <c r="D9" s="2" t="s">
        <v>237</v>
      </c>
      <c r="E9" s="2" t="s">
        <v>238</v>
      </c>
    </row>
    <row r="10" spans="1:5">
      <c r="A10" s="2" t="s">
        <v>260</v>
      </c>
      <c r="B10" s="2" t="s">
        <v>261</v>
      </c>
      <c r="C10" s="2" t="s">
        <v>262</v>
      </c>
      <c r="D10" s="2" t="s">
        <v>263</v>
      </c>
      <c r="E10" s="2" t="s">
        <v>238</v>
      </c>
    </row>
    <row r="11" spans="1:5">
      <c r="A11" s="2" t="s">
        <v>264</v>
      </c>
      <c r="B11" s="2" t="s">
        <v>265</v>
      </c>
      <c r="C11" s="2" t="s">
        <v>266</v>
      </c>
      <c r="D11" s="2" t="s">
        <v>263</v>
      </c>
      <c r="E11" s="2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README</vt:lpstr>
      <vt:lpstr>Arbeitsprotokoll</vt:lpstr>
      <vt:lpstr>Auswertung</vt:lpstr>
      <vt:lpstr>Pruefungsabdeckung</vt:lpstr>
      <vt:lpstr>Aufgabe_1</vt:lpstr>
      <vt:lpstr>Aufgabe_2</vt:lpstr>
      <vt:lpstr>Aufgabe_3</vt:lpstr>
      <vt:lpstr>Aufgabe_4</vt:lpstr>
      <vt:lpstr>Aufgabe_5</vt:lpstr>
      <vt:lpstr>Naechste_Schritte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Livio Luna</cp:lastModifiedBy>
  <dcterms:modified xsi:type="dcterms:W3CDTF">2026-06-06T17:26:33Z</dcterms:modified>
</cp:coreProperties>
</file>