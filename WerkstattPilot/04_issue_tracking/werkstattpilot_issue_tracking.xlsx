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vio\Downloads\"/>
    </mc:Choice>
  </mc:AlternateContent>
  <xr:revisionPtr revIDLastSave="0" documentId="13_ncr:1_{DFAC56B4-3178-4746-80D0-63DF4D976631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ashboard" sheetId="1" r:id="rId1"/>
    <sheet name="Iss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E6" i="1"/>
  <c r="B6" i="1"/>
  <c r="E5" i="1"/>
  <c r="B5" i="1"/>
  <c r="E4" i="1"/>
</calcChain>
</file>

<file path=xl/sharedStrings.xml><?xml version="1.0" encoding="utf-8"?>
<sst xmlns="http://schemas.openxmlformats.org/spreadsheetml/2006/main" count="261" uniqueCount="102">
  <si>
    <t>WerkstattPilot - Issue Tracking / Offene Punkte</t>
  </si>
  <si>
    <t>Kennzahl</t>
  </si>
  <si>
    <t>Wert</t>
  </si>
  <si>
    <t>Priorität</t>
  </si>
  <si>
    <t>Anzahl</t>
  </si>
  <si>
    <t>Hinweis</t>
  </si>
  <si>
    <t>Total Issues</t>
  </si>
  <si>
    <t>hoch</t>
  </si>
  <si>
    <t>vor Abgabe schliessen</t>
  </si>
  <si>
    <t>Offen</t>
  </si>
  <si>
    <t>mittel</t>
  </si>
  <si>
    <t>prüfen</t>
  </si>
  <si>
    <t>Hoch</t>
  </si>
  <si>
    <t>niedrig</t>
  </si>
  <si>
    <t>Erledigt</t>
  </si>
  <si>
    <t>Stand</t>
  </si>
  <si>
    <t>06.06.2026</t>
  </si>
  <si>
    <t>ID</t>
  </si>
  <si>
    <t>Bereich</t>
  </si>
  <si>
    <t>Status</t>
  </si>
  <si>
    <t>Feststellung</t>
  </si>
  <si>
    <t>Risiko / Auswirkung</t>
  </si>
  <si>
    <t>Massnahme</t>
  </si>
  <si>
    <t>Owner</t>
  </si>
  <si>
    <t>Zieldatum</t>
  </si>
  <si>
    <t>WP-001</t>
  </si>
  <si>
    <t>Abgabe</t>
  </si>
  <si>
    <t>offen</t>
  </si>
  <si>
    <t>Alle Aufgaben liegen aktuell als separate PDFs vor.</t>
  </si>
  <si>
    <t>Abgaberichtlinien verlangen ein Dokument mit Hauptkapitel je Aufgabe.</t>
  </si>
  <si>
    <t>Ein Gesamt-PDF/Word arbeitsgruppe3-projektarbeit erstellen.</t>
  </si>
  <si>
    <t>Livio</t>
  </si>
  <si>
    <t>WP-002</t>
  </si>
  <si>
    <t>Konsistenz</t>
  </si>
  <si>
    <t>A2/A4 erwähnen IntelliJ, die Abgabe verlangt/benennt Eclipse-Projekt.</t>
  </si>
  <si>
    <t>Lehrer kann Widerspruch zwischen Dokument und ZIP sehen.</t>
  </si>
  <si>
    <t>In allen Dokumenten auf Eclipse bzw. einfaches Java-Projekt angleichen.</t>
  </si>
  <si>
    <t>Livio/Dominic</t>
  </si>
  <si>
    <t>WP-003</t>
  </si>
  <si>
    <t>A2 Projektplan steht bei Aufgabe 3-5 noch auf 'nachführen'.</t>
  </si>
  <si>
    <t>Wirkt unfertig.</t>
  </si>
  <si>
    <t>Status auf finalisiert/abgeschlossen ändern.</t>
  </si>
  <si>
    <t>WP-004</t>
  </si>
  <si>
    <t>Arbeitsprotokoll</t>
  </si>
  <si>
    <t>Arbeitsprotokolle in Einzelaufgaben nennen vor allem Livio.</t>
  </si>
  <si>
    <t>Bewertung kann bei ungleicher Mitarbeit Abzug geben.</t>
  </si>
  <si>
    <t>Gesamt-Arbeitsprotokoll mit beiden Personen und allen Aufgaben abgeben.</t>
  </si>
  <si>
    <t>WP-005</t>
  </si>
  <si>
    <t>Design-Code</t>
  </si>
  <si>
    <t>A4 AuftragService verwendet kundenName, kennzeichen, beschreibung, termin. A5-Code nutzt nur auftragsNummer/status.</t>
  </si>
  <si>
    <t>Code und Design sind nicht deckungsgleich.</t>
  </si>
  <si>
    <t>A4 Methoden/Sequenzdiagramm auf Basic-Java-Implementierung anpassen.</t>
  </si>
  <si>
    <t>Dominic</t>
  </si>
  <si>
    <t>WP-006</t>
  </si>
  <si>
    <t>A2/A4 erwähnen JUnit, A5 nutzt einfache Java-Testklassen.</t>
  </si>
  <si>
    <t>Kann als Tooling-Widerspruch wirken.</t>
  </si>
  <si>
    <t>Formulierung 'Unit-Testklassen ohne externe Bibliothek' einheitlich verwenden.</t>
  </si>
  <si>
    <t>WP-007</t>
  </si>
  <si>
    <t>Javadoc</t>
  </si>
  <si>
    <t>A5 sagt Javadoc wird später erzeugt, Arbeitsprotokoll sagt erledigt.</t>
  </si>
  <si>
    <t>Widerspruch im Abgabedokument.</t>
  </si>
  <si>
    <t>Javadoc erzeugen und beilegen oder Status auf offen/geplant setzen.</t>
  </si>
  <si>
    <t>WP-008</t>
  </si>
  <si>
    <t>Schreibweise</t>
  </si>
  <si>
    <t>A5 Testfallname 'tatusAendernMitUnbekannterNummerTest'.</t>
  </si>
  <si>
    <t>Tippfehler in Bewertungskriterium Schreibweise.</t>
  </si>
  <si>
    <t>Zu 'statusAendernMitUnbekannterNummerTest' korrigieren.</t>
  </si>
  <si>
    <t>WP-009</t>
  </si>
  <si>
    <t>Titelblatt</t>
  </si>
  <si>
    <t>A5 Titelblatt enthält keine separate Datum-Zeile, Header ist 05.06.</t>
  </si>
  <si>
    <t>Uneinheitlich mit anderen Aufgaben und Version 1.2 am 06.06.</t>
  </si>
  <si>
    <t>Datum 06.06.2026 auf Titelblatt und Kopfzeile vereinheitlichen.</t>
  </si>
  <si>
    <t>WP-010</t>
  </si>
  <si>
    <t>Aufgabe 1</t>
  </si>
  <si>
    <t>A1 erwähnt SQLite/PostgreSQL und GUI, A5 nutzt Mock-DB/ConsoleClient.</t>
  </si>
  <si>
    <t>Ohne Abgrenzung kann es widersprüchlich wirken.</t>
  </si>
  <si>
    <t>Erklären: A1 Zielbild, A5 Iteration-1-Prototyp ohne echte DB/GUI.</t>
  </si>
  <si>
    <t>WP-011</t>
  </si>
  <si>
    <t>Code</t>
  </si>
  <si>
    <t>Code-ZIP war in diesem Check nicht verfügbar.</t>
  </si>
  <si>
    <t>Import/Run/Javadoc konnten nicht verifiziert werden.</t>
  </si>
  <si>
    <t>arbeitsgruppe3-eclipse-projekt.zip lokal importieren und Tests/Javadoc ausführen.</t>
  </si>
  <si>
    <t>WP-012</t>
  </si>
  <si>
    <t>Dateinamen final noch nicht vollständig nach Richtlinie abgeglichen.</t>
  </si>
  <si>
    <t>Falsche Dateinamen können Punktabzug geben.</t>
  </si>
  <si>
    <t>Final: arbeitsgruppe3-projektarbeit.pdf, arbeitsgruppe3-praesentation.pdf, arbeitsgruppe3-eclipse-projekt.zip, arbeitsgruppe3-arbeitsprotokoll.pdf/xlsx.</t>
  </si>
  <si>
    <t>WP-013</t>
  </si>
  <si>
    <t>Präsentation</t>
  </si>
  <si>
    <t>Finale Präsentation muss beide Mitglieder und alle Teilaufgaben abdecken.</t>
  </si>
  <si>
    <t>Aufgabe 5 bewertet die Präsentation mit.</t>
  </si>
  <si>
    <t>Präsentationsrollen und Demo-Ablauf finalisieren.</t>
  </si>
  <si>
    <t>07.06.2026</t>
  </si>
  <si>
    <t>WP-014</t>
  </si>
  <si>
    <t>Dokumentation</t>
  </si>
  <si>
    <t>Prüfungsabdeckung fehlt bei Aufgaben 1 und 2 und soll bei allen gleich aussehen.</t>
  </si>
  <si>
    <t>Roter Faden wird schwächer.</t>
  </si>
  <si>
    <t>0.1 Prüfungsabdeckung in jedem Hauptkapitel ergänzen.</t>
  </si>
  <si>
    <t>WP-015</t>
  </si>
  <si>
    <t>Versionen</t>
  </si>
  <si>
    <t>05_versionen braucht klare Übersicht, aber keine falschen Nachweise.</t>
  </si>
  <si>
    <t>Leere Versionen wirken unstrukturiert.</t>
  </si>
  <si>
    <t>Versionsübersicht und Ablageplan erstellen; nur echte freigegebene Stände ablegen.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</si>
</sst>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2" borderId="1" xfId="1" applyFont="1" applyFill="1" applyBorder="1"/>
    <xf numFmtId="0" fontId="2" fillId="2" borderId="3" xfId="1" applyFont="1" applyFill="1" applyBorder="1" applyAlignment="1">
      <alignment horizontal="center"/>
    </xf>
    <xf numFmtId="0" fontId="1" fillId="2" borderId="6" xfId="1" applyFont="1" applyFill="1" applyBorder="1"/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1" fillId="2" borderId="7" xfId="1" applyFont="1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1" fillId="2" borderId="2" xfId="1" applyFont="1" applyFill="1" applyBorder="1"/>
    <xf numFmtId="0" fontId="0" fillId="0" borderId="2" xfId="0" applyBorder="1"/>
    <xf numFmtId="164" fontId="0" fillId="0" borderId="2" xfId="1" applyNumberFormat="1" applyFon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2" borderId="2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164" fontId="0" fillId="0" borderId="2" xfId="1" applyNumberFormat="1" applyFont="1" applyBorder="1" applyAlignment="1">
      <alignment wrapText="1"/>
    </xf>
    <xf numFmtId="0" fontId="1" fillId="0" borderId="0" xfId="1" applyFont="1" applyFill="1" applyAlignment="1">
      <alignment horizontal="center" wrapText="1"/>
    </xf>
    <xf numFmtId="0" fontId="1" fillId="2" borderId="9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  <xf numFmtId="0" fontId="0" fillId="0" borderId="12" xfId="1" applyFont="1" applyBorder="1" applyAlignment="1">
      <alignment wrapText="1"/>
    </xf>
    <xf numFmtId="164" fontId="0" fillId="0" borderId="13" xfId="1" applyNumberFormat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10" xfId="1" applyFont="1" applyBorder="1" applyAlignment="1">
      <alignment wrapText="1"/>
    </xf>
    <xf numFmtId="164" fontId="0" fillId="0" borderId="3" xfId="1" applyNumberFormat="1" applyFont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suesTable" displayName="IssuesTable" ref="A1:I16" headerRowDxfId="1" totalsRowDxfId="0" headerRowBorderDxfId="11" tableBorderDxfId="12">
  <tableColumns count="9">
    <tableColumn id="1" xr3:uid="{00000000-0010-0000-0000-000001000000}" name="ID" dataDxfId="10"/>
    <tableColumn id="2" xr3:uid="{00000000-0010-0000-0000-000002000000}" name="Bereich" dataDxfId="9"/>
    <tableColumn id="3" xr3:uid="{00000000-0010-0000-0000-000003000000}" name="Priorität" dataDxfId="8"/>
    <tableColumn id="4" xr3:uid="{00000000-0010-0000-0000-000004000000}" name="Status" dataDxfId="7"/>
    <tableColumn id="5" xr3:uid="{00000000-0010-0000-0000-000005000000}" name="Feststellung" dataDxfId="6"/>
    <tableColumn id="6" xr3:uid="{00000000-0010-0000-0000-000006000000}" name="Risiko / Auswirkung" dataDxfId="5"/>
    <tableColumn id="7" xr3:uid="{00000000-0010-0000-0000-000007000000}" name="Massnahme" dataDxfId="4"/>
    <tableColumn id="8" xr3:uid="{00000000-0010-0000-0000-000008000000}" name="Owner" dataDxfId="3"/>
    <tableColumn id="9" xr3:uid="{00000000-0010-0000-0000-000009000000}" name="Zieldatu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16" sqref="G16"/>
    </sheetView>
  </sheetViews>
  <sheetFormatPr baseColWidth="10" defaultColWidth="73" defaultRowHeight="14.25"/>
  <cols>
    <col min="1" max="1" width="10.75" bestFit="1" customWidth="1"/>
    <col min="2" max="2" width="13.25" bestFit="1" customWidth="1"/>
    <col min="3" max="3" width="8" bestFit="1" customWidth="1"/>
    <col min="4" max="4" width="10" customWidth="1"/>
    <col min="5" max="5" width="103.125" bestFit="1" customWidth="1"/>
    <col min="6" max="6" width="58.75" bestFit="1" customWidth="1"/>
    <col min="7" max="7" width="65.375" bestFit="1" customWidth="1"/>
    <col min="8" max="8" width="11.75" bestFit="1" customWidth="1"/>
    <col min="9" max="9" width="9.875" bestFit="1" customWidth="1"/>
  </cols>
  <sheetData>
    <row r="1" spans="1:9" ht="18">
      <c r="A1" s="2" t="s">
        <v>0</v>
      </c>
      <c r="B1" s="4"/>
      <c r="C1" s="4"/>
      <c r="D1" s="4"/>
      <c r="E1" s="4"/>
      <c r="F1" s="4"/>
      <c r="G1" s="4"/>
      <c r="H1" s="4"/>
      <c r="I1" s="5"/>
    </row>
    <row r="2" spans="1:9">
      <c r="A2" s="7"/>
      <c r="B2" s="8"/>
      <c r="C2" s="8"/>
      <c r="D2" s="8"/>
      <c r="E2" s="8"/>
      <c r="F2" s="8"/>
      <c r="G2" s="8"/>
      <c r="H2" s="8"/>
      <c r="I2" s="9"/>
    </row>
    <row r="3" spans="1:9" ht="15">
      <c r="A3" s="10" t="s">
        <v>1</v>
      </c>
      <c r="B3" s="10" t="s">
        <v>2</v>
      </c>
      <c r="C3" s="1"/>
      <c r="D3" s="10" t="s">
        <v>3</v>
      </c>
      <c r="E3" s="10" t="s">
        <v>4</v>
      </c>
      <c r="F3" s="10" t="s">
        <v>5</v>
      </c>
      <c r="G3" s="1"/>
      <c r="H3" s="1"/>
      <c r="I3" s="6"/>
    </row>
    <row r="4" spans="1:9" ht="15">
      <c r="A4" s="11" t="s">
        <v>6</v>
      </c>
      <c r="B4" s="11">
        <v>15</v>
      </c>
      <c r="C4" s="1"/>
      <c r="D4" s="13" t="s">
        <v>7</v>
      </c>
      <c r="E4" s="14">
        <f>COUNTIF(Issues!$C:$C,D4)</f>
        <v>7</v>
      </c>
      <c r="F4" s="11" t="s">
        <v>8</v>
      </c>
      <c r="G4" s="1"/>
      <c r="H4" s="1"/>
      <c r="I4" s="6"/>
    </row>
    <row r="5" spans="1:9" ht="15">
      <c r="A5" s="11" t="s">
        <v>9</v>
      </c>
      <c r="B5" s="11">
        <f>COUNTIF(Issues!$D:$D,"offen")</f>
        <v>15</v>
      </c>
      <c r="C5" s="1"/>
      <c r="D5" s="13" t="s">
        <v>10</v>
      </c>
      <c r="E5" s="14">
        <f>COUNTIF(Issues!$C:$C,D5)</f>
        <v>7</v>
      </c>
      <c r="F5" s="11" t="s">
        <v>11</v>
      </c>
      <c r="G5" s="1"/>
      <c r="H5" s="1"/>
      <c r="I5" s="6"/>
    </row>
    <row r="6" spans="1:9" ht="15">
      <c r="A6" s="11" t="s">
        <v>12</v>
      </c>
      <c r="B6" s="11">
        <f>COUNTIF(Issues!$C:$C,"hoch")</f>
        <v>7</v>
      </c>
      <c r="C6" s="1"/>
      <c r="D6" s="13" t="s">
        <v>13</v>
      </c>
      <c r="E6" s="14">
        <f>COUNTIF(Issues!$C:$C,D6)</f>
        <v>1</v>
      </c>
      <c r="F6" s="11" t="s">
        <v>11</v>
      </c>
      <c r="G6" s="1"/>
      <c r="H6" s="1"/>
      <c r="I6" s="6"/>
    </row>
    <row r="7" spans="1:9" ht="15">
      <c r="A7" s="11" t="s">
        <v>14</v>
      </c>
      <c r="B7" s="11">
        <f>COUNTIF(Issues!$D:$D,"erledigt")</f>
        <v>0</v>
      </c>
      <c r="C7" s="1"/>
      <c r="D7" s="1"/>
      <c r="E7" s="1"/>
      <c r="F7" s="1"/>
      <c r="G7" s="1"/>
      <c r="H7" s="1"/>
      <c r="I7" s="6"/>
    </row>
    <row r="8" spans="1:9" ht="15">
      <c r="A8" s="11" t="s">
        <v>15</v>
      </c>
      <c r="B8" s="12" t="s">
        <v>16</v>
      </c>
      <c r="C8" s="1"/>
      <c r="D8" s="1"/>
      <c r="E8" s="1"/>
      <c r="F8" s="1"/>
      <c r="G8" s="1"/>
      <c r="H8" s="1"/>
      <c r="I8" s="6"/>
    </row>
    <row r="9" spans="1:9" ht="15">
      <c r="A9" s="3"/>
      <c r="B9" s="1"/>
      <c r="C9" s="1"/>
      <c r="D9" s="1"/>
      <c r="E9" s="1"/>
      <c r="F9" s="1"/>
      <c r="G9" s="1"/>
      <c r="H9" s="1"/>
      <c r="I9" s="6"/>
    </row>
    <row r="10" spans="1:9">
      <c r="A10" s="7"/>
      <c r="B10" s="8"/>
      <c r="C10" s="8"/>
      <c r="D10" s="8"/>
      <c r="E10" s="8"/>
      <c r="F10" s="8"/>
      <c r="G10" s="8"/>
      <c r="H10" s="8"/>
      <c r="I10" s="9"/>
    </row>
    <row r="11" spans="1:9" ht="15">
      <c r="A11" s="15" t="s">
        <v>17</v>
      </c>
      <c r="B11" s="15" t="s">
        <v>18</v>
      </c>
      <c r="C11" s="15" t="s">
        <v>3</v>
      </c>
      <c r="D11" s="15" t="s">
        <v>19</v>
      </c>
      <c r="E11" s="15" t="s">
        <v>20</v>
      </c>
      <c r="F11" s="15" t="s">
        <v>21</v>
      </c>
      <c r="G11" s="15" t="s">
        <v>22</v>
      </c>
      <c r="H11" s="15" t="s">
        <v>23</v>
      </c>
      <c r="I11" s="15" t="s">
        <v>24</v>
      </c>
    </row>
    <row r="12" spans="1:9">
      <c r="A12" s="16" t="s">
        <v>25</v>
      </c>
      <c r="B12" s="16" t="s">
        <v>26</v>
      </c>
      <c r="C12" s="16" t="s">
        <v>7</v>
      </c>
      <c r="D12" s="16" t="s">
        <v>27</v>
      </c>
      <c r="E12" s="16" t="s">
        <v>28</v>
      </c>
      <c r="F12" s="16" t="s">
        <v>29</v>
      </c>
      <c r="G12" s="16" t="s">
        <v>30</v>
      </c>
      <c r="H12" s="16" t="s">
        <v>31</v>
      </c>
      <c r="I12" s="17" t="s">
        <v>16</v>
      </c>
    </row>
    <row r="13" spans="1:9">
      <c r="A13" s="16" t="s">
        <v>32</v>
      </c>
      <c r="B13" s="16" t="s">
        <v>33</v>
      </c>
      <c r="C13" s="16" t="s">
        <v>7</v>
      </c>
      <c r="D13" s="16" t="s">
        <v>27</v>
      </c>
      <c r="E13" s="16" t="s">
        <v>34</v>
      </c>
      <c r="F13" s="16" t="s">
        <v>35</v>
      </c>
      <c r="G13" s="16" t="s">
        <v>36</v>
      </c>
      <c r="H13" s="16" t="s">
        <v>37</v>
      </c>
      <c r="I13" s="17" t="s">
        <v>16</v>
      </c>
    </row>
    <row r="14" spans="1:9">
      <c r="A14" s="16" t="s">
        <v>38</v>
      </c>
      <c r="B14" s="16" t="s">
        <v>33</v>
      </c>
      <c r="C14" s="16" t="s">
        <v>10</v>
      </c>
      <c r="D14" s="16" t="s">
        <v>27</v>
      </c>
      <c r="E14" s="16" t="s">
        <v>39</v>
      </c>
      <c r="F14" s="16" t="s">
        <v>40</v>
      </c>
      <c r="G14" s="16" t="s">
        <v>41</v>
      </c>
      <c r="H14" s="16" t="s">
        <v>31</v>
      </c>
      <c r="I14" s="17" t="s">
        <v>16</v>
      </c>
    </row>
    <row r="15" spans="1:9">
      <c r="A15" s="16" t="s">
        <v>42</v>
      </c>
      <c r="B15" s="16" t="s">
        <v>43</v>
      </c>
      <c r="C15" s="16" t="s">
        <v>7</v>
      </c>
      <c r="D15" s="16" t="s">
        <v>27</v>
      </c>
      <c r="E15" s="16" t="s">
        <v>44</v>
      </c>
      <c r="F15" s="16" t="s">
        <v>45</v>
      </c>
      <c r="G15" s="16" t="s">
        <v>46</v>
      </c>
      <c r="H15" s="16" t="s">
        <v>37</v>
      </c>
      <c r="I15" s="17" t="s">
        <v>16</v>
      </c>
    </row>
    <row r="16" spans="1:9">
      <c r="A16" s="16" t="s">
        <v>47</v>
      </c>
      <c r="B16" s="16" t="s">
        <v>48</v>
      </c>
      <c r="C16" s="16" t="s">
        <v>7</v>
      </c>
      <c r="D16" s="16" t="s">
        <v>27</v>
      </c>
      <c r="E16" s="16" t="s">
        <v>49</v>
      </c>
      <c r="F16" s="16" t="s">
        <v>50</v>
      </c>
      <c r="G16" s="16" t="s">
        <v>51</v>
      </c>
      <c r="H16" s="16" t="s">
        <v>52</v>
      </c>
      <c r="I16" s="17" t="s">
        <v>16</v>
      </c>
    </row>
    <row r="17" spans="1:9">
      <c r="A17" s="16" t="s">
        <v>53</v>
      </c>
      <c r="B17" s="16" t="s">
        <v>48</v>
      </c>
      <c r="C17" s="16" t="s">
        <v>10</v>
      </c>
      <c r="D17" s="16" t="s">
        <v>27</v>
      </c>
      <c r="E17" s="16" t="s">
        <v>54</v>
      </c>
      <c r="F17" s="16" t="s">
        <v>55</v>
      </c>
      <c r="G17" s="16" t="s">
        <v>56</v>
      </c>
      <c r="H17" s="16" t="s">
        <v>31</v>
      </c>
      <c r="I17" s="17" t="s">
        <v>16</v>
      </c>
    </row>
    <row r="18" spans="1:9">
      <c r="A18" s="16" t="s">
        <v>57</v>
      </c>
      <c r="B18" s="16" t="s">
        <v>58</v>
      </c>
      <c r="C18" s="16" t="s">
        <v>7</v>
      </c>
      <c r="D18" s="16" t="s">
        <v>27</v>
      </c>
      <c r="E18" s="16" t="s">
        <v>59</v>
      </c>
      <c r="F18" s="16" t="s">
        <v>60</v>
      </c>
      <c r="G18" s="16" t="s">
        <v>61</v>
      </c>
      <c r="H18" s="16" t="s">
        <v>52</v>
      </c>
      <c r="I18" s="17" t="s">
        <v>16</v>
      </c>
    </row>
    <row r="19" spans="1:9">
      <c r="A19" s="16" t="s">
        <v>62</v>
      </c>
      <c r="B19" s="16" t="s">
        <v>63</v>
      </c>
      <c r="C19" s="16" t="s">
        <v>13</v>
      </c>
      <c r="D19" s="16" t="s">
        <v>27</v>
      </c>
      <c r="E19" s="16" t="s">
        <v>64</v>
      </c>
      <c r="F19" s="16" t="s">
        <v>65</v>
      </c>
      <c r="G19" s="16" t="s">
        <v>66</v>
      </c>
      <c r="H19" s="16" t="s">
        <v>31</v>
      </c>
      <c r="I19" s="17" t="s">
        <v>16</v>
      </c>
    </row>
    <row r="20" spans="1:9">
      <c r="A20" s="16" t="s">
        <v>67</v>
      </c>
      <c r="B20" s="16" t="s">
        <v>68</v>
      </c>
      <c r="C20" s="16" t="s">
        <v>10</v>
      </c>
      <c r="D20" s="16" t="s">
        <v>27</v>
      </c>
      <c r="E20" s="16" t="s">
        <v>69</v>
      </c>
      <c r="F20" s="16" t="s">
        <v>70</v>
      </c>
      <c r="G20" s="16" t="s">
        <v>71</v>
      </c>
      <c r="H20" s="16" t="s">
        <v>31</v>
      </c>
      <c r="I20" s="17" t="s">
        <v>16</v>
      </c>
    </row>
    <row r="21" spans="1:9">
      <c r="A21" s="16" t="s">
        <v>72</v>
      </c>
      <c r="B21" s="16" t="s">
        <v>73</v>
      </c>
      <c r="C21" s="16" t="s">
        <v>10</v>
      </c>
      <c r="D21" s="16" t="s">
        <v>27</v>
      </c>
      <c r="E21" s="16" t="s">
        <v>74</v>
      </c>
      <c r="F21" s="16" t="s">
        <v>75</v>
      </c>
      <c r="G21" s="16" t="s">
        <v>76</v>
      </c>
      <c r="H21" s="16" t="s">
        <v>31</v>
      </c>
      <c r="I21" s="17" t="s">
        <v>16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E22" sqref="E22"/>
    </sheetView>
  </sheetViews>
  <sheetFormatPr baseColWidth="10" defaultColWidth="129.5" defaultRowHeight="21.75" customHeight="1"/>
  <cols>
    <col min="1" max="1" width="7.625" bestFit="1" customWidth="1"/>
    <col min="2" max="2" width="13.25" bestFit="1" customWidth="1"/>
    <col min="3" max="3" width="8" bestFit="1" customWidth="1"/>
    <col min="4" max="4" width="6.5" bestFit="1" customWidth="1"/>
    <col min="5" max="5" width="103.125" bestFit="1" customWidth="1"/>
    <col min="6" max="6" width="58.75" bestFit="1" customWidth="1"/>
    <col min="7" max="7" width="123.25" bestFit="1" customWidth="1"/>
    <col min="8" max="8" width="11.75" bestFit="1" customWidth="1"/>
    <col min="9" max="9" width="9.875" bestFit="1" customWidth="1"/>
  </cols>
  <sheetData>
    <row r="1" spans="1:10" ht="15.75" customHeight="1">
      <c r="A1" s="19" t="s">
        <v>17</v>
      </c>
      <c r="B1" s="20" t="s">
        <v>18</v>
      </c>
      <c r="C1" s="20" t="s">
        <v>3</v>
      </c>
      <c r="D1" s="20" t="s">
        <v>19</v>
      </c>
      <c r="E1" s="20" t="s">
        <v>20</v>
      </c>
      <c r="F1" s="20" t="s">
        <v>21</v>
      </c>
      <c r="G1" s="20" t="s">
        <v>22</v>
      </c>
      <c r="H1" s="20" t="s">
        <v>23</v>
      </c>
      <c r="I1" s="21" t="s">
        <v>24</v>
      </c>
    </row>
    <row r="2" spans="1:10" ht="21.75" customHeight="1">
      <c r="A2" s="22" t="s">
        <v>25</v>
      </c>
      <c r="B2" s="16" t="s">
        <v>26</v>
      </c>
      <c r="C2" s="16" t="s">
        <v>7</v>
      </c>
      <c r="D2" s="16" t="s">
        <v>27</v>
      </c>
      <c r="E2" s="16" t="s">
        <v>28</v>
      </c>
      <c r="F2" s="16" t="s">
        <v>29</v>
      </c>
      <c r="G2" s="16" t="s">
        <v>30</v>
      </c>
      <c r="H2" s="16" t="s">
        <v>31</v>
      </c>
      <c r="I2" s="23" t="s">
        <v>16</v>
      </c>
    </row>
    <row r="3" spans="1:10" ht="21.75" customHeight="1">
      <c r="A3" s="22" t="s">
        <v>32</v>
      </c>
      <c r="B3" s="16" t="s">
        <v>33</v>
      </c>
      <c r="C3" s="16" t="s">
        <v>7</v>
      </c>
      <c r="D3" s="16" t="s">
        <v>27</v>
      </c>
      <c r="E3" s="16" t="s">
        <v>34</v>
      </c>
      <c r="F3" s="16" t="s">
        <v>35</v>
      </c>
      <c r="G3" s="16" t="s">
        <v>36</v>
      </c>
      <c r="H3" s="16" t="s">
        <v>37</v>
      </c>
      <c r="I3" s="23" t="s">
        <v>16</v>
      </c>
    </row>
    <row r="4" spans="1:10" ht="21.75" customHeight="1">
      <c r="A4" s="22" t="s">
        <v>38</v>
      </c>
      <c r="B4" s="16" t="s">
        <v>33</v>
      </c>
      <c r="C4" s="16" t="s">
        <v>10</v>
      </c>
      <c r="D4" s="16" t="s">
        <v>27</v>
      </c>
      <c r="E4" s="16" t="s">
        <v>39</v>
      </c>
      <c r="F4" s="16" t="s">
        <v>40</v>
      </c>
      <c r="G4" s="16" t="s">
        <v>41</v>
      </c>
      <c r="H4" s="16" t="s">
        <v>31</v>
      </c>
      <c r="I4" s="23" t="s">
        <v>16</v>
      </c>
    </row>
    <row r="5" spans="1:10" ht="21.75" customHeight="1">
      <c r="A5" s="22" t="s">
        <v>42</v>
      </c>
      <c r="B5" s="16" t="s">
        <v>43</v>
      </c>
      <c r="C5" s="16" t="s">
        <v>7</v>
      </c>
      <c r="D5" s="16" t="s">
        <v>27</v>
      </c>
      <c r="E5" s="16" t="s">
        <v>44</v>
      </c>
      <c r="F5" s="16" t="s">
        <v>45</v>
      </c>
      <c r="G5" s="16" t="s">
        <v>46</v>
      </c>
      <c r="H5" s="16" t="s">
        <v>37</v>
      </c>
      <c r="I5" s="23" t="s">
        <v>16</v>
      </c>
    </row>
    <row r="6" spans="1:10" ht="21.75" customHeight="1">
      <c r="A6" s="22" t="s">
        <v>47</v>
      </c>
      <c r="B6" s="16" t="s">
        <v>48</v>
      </c>
      <c r="C6" s="16" t="s">
        <v>7</v>
      </c>
      <c r="D6" s="16" t="s">
        <v>27</v>
      </c>
      <c r="E6" s="16" t="s">
        <v>49</v>
      </c>
      <c r="F6" s="16" t="s">
        <v>50</v>
      </c>
      <c r="G6" s="16" t="s">
        <v>51</v>
      </c>
      <c r="H6" s="16" t="s">
        <v>52</v>
      </c>
      <c r="I6" s="23" t="s">
        <v>16</v>
      </c>
    </row>
    <row r="7" spans="1:10" ht="21.75" customHeight="1">
      <c r="A7" s="22" t="s">
        <v>53</v>
      </c>
      <c r="B7" s="16" t="s">
        <v>48</v>
      </c>
      <c r="C7" s="16" t="s">
        <v>10</v>
      </c>
      <c r="D7" s="16" t="s">
        <v>27</v>
      </c>
      <c r="E7" s="16" t="s">
        <v>54</v>
      </c>
      <c r="F7" s="16" t="s">
        <v>55</v>
      </c>
      <c r="G7" s="16" t="s">
        <v>56</v>
      </c>
      <c r="H7" s="16" t="s">
        <v>31</v>
      </c>
      <c r="I7" s="23" t="s">
        <v>16</v>
      </c>
    </row>
    <row r="8" spans="1:10" ht="21.75" customHeight="1">
      <c r="A8" s="22" t="s">
        <v>57</v>
      </c>
      <c r="B8" s="16" t="s">
        <v>58</v>
      </c>
      <c r="C8" s="16" t="s">
        <v>7</v>
      </c>
      <c r="D8" s="16" t="s">
        <v>27</v>
      </c>
      <c r="E8" s="16" t="s">
        <v>59</v>
      </c>
      <c r="F8" s="16" t="s">
        <v>60</v>
      </c>
      <c r="G8" s="16" t="s">
        <v>61</v>
      </c>
      <c r="H8" s="16" t="s">
        <v>52</v>
      </c>
      <c r="I8" s="23" t="s">
        <v>16</v>
      </c>
    </row>
    <row r="9" spans="1:10" ht="21.75" customHeight="1">
      <c r="A9" s="22" t="s">
        <v>62</v>
      </c>
      <c r="B9" s="16" t="s">
        <v>63</v>
      </c>
      <c r="C9" s="16" t="s">
        <v>13</v>
      </c>
      <c r="D9" s="16" t="s">
        <v>27</v>
      </c>
      <c r="E9" s="16" t="s">
        <v>64</v>
      </c>
      <c r="F9" s="16" t="s">
        <v>65</v>
      </c>
      <c r="G9" s="16" t="s">
        <v>66</v>
      </c>
      <c r="H9" s="16" t="s">
        <v>31</v>
      </c>
      <c r="I9" s="23" t="s">
        <v>16</v>
      </c>
    </row>
    <row r="10" spans="1:10" ht="21.75" customHeight="1">
      <c r="A10" s="22" t="s">
        <v>67</v>
      </c>
      <c r="B10" s="16" t="s">
        <v>68</v>
      </c>
      <c r="C10" s="16" t="s">
        <v>10</v>
      </c>
      <c r="D10" s="16" t="s">
        <v>27</v>
      </c>
      <c r="E10" s="16" t="s">
        <v>69</v>
      </c>
      <c r="F10" s="16" t="s">
        <v>70</v>
      </c>
      <c r="G10" s="16" t="s">
        <v>71</v>
      </c>
      <c r="H10" s="16" t="s">
        <v>31</v>
      </c>
      <c r="I10" s="23" t="s">
        <v>16</v>
      </c>
    </row>
    <row r="11" spans="1:10" ht="21.75" customHeight="1">
      <c r="A11" s="22" t="s">
        <v>72</v>
      </c>
      <c r="B11" s="16" t="s">
        <v>73</v>
      </c>
      <c r="C11" s="16" t="s">
        <v>10</v>
      </c>
      <c r="D11" s="16" t="s">
        <v>27</v>
      </c>
      <c r="E11" s="16" t="s">
        <v>74</v>
      </c>
      <c r="F11" s="16" t="s">
        <v>75</v>
      </c>
      <c r="G11" s="16" t="s">
        <v>76</v>
      </c>
      <c r="H11" s="16" t="s">
        <v>31</v>
      </c>
      <c r="I11" s="23" t="s">
        <v>16</v>
      </c>
    </row>
    <row r="12" spans="1:10" ht="21.75" customHeight="1">
      <c r="A12" s="22" t="s">
        <v>77</v>
      </c>
      <c r="B12" s="16" t="s">
        <v>78</v>
      </c>
      <c r="C12" s="16" t="s">
        <v>7</v>
      </c>
      <c r="D12" s="16" t="s">
        <v>27</v>
      </c>
      <c r="E12" s="16" t="s">
        <v>79</v>
      </c>
      <c r="F12" s="16" t="s">
        <v>80</v>
      </c>
      <c r="G12" s="16" t="s">
        <v>81</v>
      </c>
      <c r="H12" s="16" t="s">
        <v>52</v>
      </c>
      <c r="I12" s="23" t="s">
        <v>16</v>
      </c>
    </row>
    <row r="13" spans="1:10" ht="21.75" customHeight="1">
      <c r="A13" s="22" t="s">
        <v>82</v>
      </c>
      <c r="B13" s="16" t="s">
        <v>26</v>
      </c>
      <c r="C13" s="16" t="s">
        <v>7</v>
      </c>
      <c r="D13" s="16" t="s">
        <v>27</v>
      </c>
      <c r="E13" s="16" t="s">
        <v>83</v>
      </c>
      <c r="F13" s="16" t="s">
        <v>84</v>
      </c>
      <c r="G13" s="16" t="s">
        <v>85</v>
      </c>
      <c r="H13" s="16" t="s">
        <v>31</v>
      </c>
      <c r="I13" s="23" t="s">
        <v>16</v>
      </c>
    </row>
    <row r="14" spans="1:10" ht="21.75" customHeight="1">
      <c r="A14" s="22" t="s">
        <v>86</v>
      </c>
      <c r="B14" s="16" t="s">
        <v>87</v>
      </c>
      <c r="C14" s="16" t="s">
        <v>10</v>
      </c>
      <c r="D14" s="16" t="s">
        <v>27</v>
      </c>
      <c r="E14" s="16" t="s">
        <v>88</v>
      </c>
      <c r="F14" s="16" t="s">
        <v>89</v>
      </c>
      <c r="G14" s="16" t="s">
        <v>90</v>
      </c>
      <c r="H14" s="16" t="s">
        <v>37</v>
      </c>
      <c r="I14" s="23" t="s">
        <v>91</v>
      </c>
    </row>
    <row r="15" spans="1:10" ht="21.75" customHeight="1">
      <c r="A15" s="22" t="s">
        <v>92</v>
      </c>
      <c r="B15" s="16" t="s">
        <v>93</v>
      </c>
      <c r="C15" s="16" t="s">
        <v>10</v>
      </c>
      <c r="D15" s="16" t="s">
        <v>27</v>
      </c>
      <c r="E15" s="16" t="s">
        <v>94</v>
      </c>
      <c r="F15" s="16" t="s">
        <v>95</v>
      </c>
      <c r="G15" s="16" t="s">
        <v>96</v>
      </c>
      <c r="H15" s="16" t="s">
        <v>31</v>
      </c>
      <c r="I15" s="23" t="s">
        <v>16</v>
      </c>
      <c r="J15" s="18"/>
    </row>
    <row r="16" spans="1:10" ht="21.75" customHeight="1">
      <c r="A16" s="24" t="s">
        <v>97</v>
      </c>
      <c r="B16" s="25" t="s">
        <v>98</v>
      </c>
      <c r="C16" s="25" t="s">
        <v>10</v>
      </c>
      <c r="D16" s="25" t="s">
        <v>27</v>
      </c>
      <c r="E16" s="25" t="s">
        <v>99</v>
      </c>
      <c r="F16" s="25" t="s">
        <v>100</v>
      </c>
      <c r="G16" s="25" t="s">
        <v>101</v>
      </c>
      <c r="H16" s="25" t="s">
        <v>37</v>
      </c>
      <c r="I16" s="26" t="s">
        <v>16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#REF!</xm:f>
          </x14:formula1>
          <xm:sqref>C2:C16</xm:sqref>
        </x14:dataValidation>
        <x14:dataValidation type="list" xr:uid="{00000000-0002-0000-0100-000001000000}">
          <x14:formula1>
            <xm:f>#REF!</xm:f>
          </x14:formula1>
          <xm:sqref>D2:D16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Dashboard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Livio Luna</cp:lastModifiedBy>
  <dcterms:modified xsi:type="dcterms:W3CDTF">2026-06-06T17:36:52Z</dcterms:modified>
</cp:coreProperties>
</file>